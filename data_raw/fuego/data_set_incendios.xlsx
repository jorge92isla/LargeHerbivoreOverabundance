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agomezmunoz/Downloads/"/>
    </mc:Choice>
  </mc:AlternateContent>
  <xr:revisionPtr revIDLastSave="0" documentId="13_ncr:1_{EA44E498-9531-CC40-81E8-11FE9C3F2091}" xr6:coauthVersionLast="47" xr6:coauthVersionMax="47" xr10:uidLastSave="{00000000-0000-0000-0000-000000000000}"/>
  <bookViews>
    <workbookView xWindow="1180" yWindow="1460" windowWidth="27240" windowHeight="14820" xr2:uid="{0A187B58-6966-814C-9A54-3163529F7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2" i="1" l="1"/>
  <c r="U32" i="1"/>
  <c r="AA31" i="1"/>
  <c r="U31" i="1"/>
  <c r="AA30" i="1"/>
  <c r="U30" i="1"/>
  <c r="AA29" i="1"/>
  <c r="U29" i="1"/>
  <c r="AA28" i="1"/>
  <c r="U28" i="1"/>
  <c r="AA27" i="1"/>
  <c r="U27" i="1"/>
  <c r="AA26" i="1"/>
  <c r="U26" i="1"/>
  <c r="AA25" i="1"/>
  <c r="U25" i="1"/>
  <c r="AA23" i="1"/>
  <c r="U23" i="1"/>
  <c r="AA22" i="1"/>
  <c r="U22" i="1"/>
  <c r="AA21" i="1"/>
  <c r="U21" i="1"/>
  <c r="AA20" i="1"/>
  <c r="U20" i="1"/>
  <c r="AA19" i="1"/>
  <c r="U19" i="1"/>
  <c r="AA18" i="1"/>
  <c r="U18" i="1"/>
  <c r="AA17" i="1"/>
  <c r="U17" i="1"/>
  <c r="AA16" i="1"/>
  <c r="U16" i="1"/>
  <c r="AA15" i="1"/>
  <c r="U15" i="1"/>
  <c r="AA14" i="1"/>
  <c r="U14" i="1"/>
  <c r="AA13" i="1"/>
  <c r="U13" i="1"/>
  <c r="AA12" i="1"/>
  <c r="U12" i="1"/>
  <c r="AA11" i="1"/>
  <c r="AA10" i="1"/>
  <c r="U10" i="1"/>
  <c r="AA9" i="1"/>
  <c r="U9" i="1"/>
  <c r="AA8" i="1"/>
  <c r="U8" i="1"/>
  <c r="AA7" i="1"/>
  <c r="U7" i="1"/>
  <c r="AA6" i="1"/>
  <c r="U6" i="1"/>
  <c r="AA5" i="1"/>
  <c r="U5" i="1"/>
  <c r="AA4" i="1"/>
  <c r="U4" i="1"/>
  <c r="AA3" i="1"/>
  <c r="U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Alba Gómez Muñoz</author>
    <author>Jesus</author>
    <author>Microsoft Office User</author>
  </authors>
  <commentList>
    <comment ref="C2" authorId="0" shapeId="0" xr:uid="{9553589F-7C55-244D-BEB2-6D39D29EF7FD}">
      <text>
        <r>
          <rPr>
            <b/>
            <sz val="9"/>
            <color rgb="FF000000"/>
            <rFont val="Tahoma"/>
            <family val="2"/>
          </rPr>
          <t>Alba Gómez Muñoz: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fecha en la que se tomaron las muestras en campo
</t>
        </r>
      </text>
    </comment>
    <comment ref="E2" authorId="1" shapeId="0" xr:uid="{663AD013-D954-C04D-929D-F2A57C75B1D5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J: jara
</t>
        </r>
        <r>
          <rPr>
            <sz val="9"/>
            <color rgb="FF000000"/>
            <rFont val="Tahoma"/>
            <family val="2"/>
          </rPr>
          <t>E: encina</t>
        </r>
      </text>
    </comment>
    <comment ref="F2" authorId="2" shapeId="0" xr:uid="{3D8CCCFC-6206-9040-A1DF-45930E272C4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Nº asignado para marcaje de radiometro
</t>
        </r>
      </text>
    </comment>
    <comment ref="G2" authorId="1" shapeId="0" xr:uid="{CF3603D0-B9BF-C845-AA69-39595B61AA8D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Units: MPa. 
</t>
        </r>
        <r>
          <rPr>
            <sz val="9"/>
            <color rgb="FF000000"/>
            <rFont val="Tahoma"/>
            <family val="2"/>
          </rPr>
          <t>Potencial hídrico, de un ramillo. Variable relacionada con la capacidad de la planta para mover agua y el estrés hídrico.</t>
        </r>
      </text>
    </comment>
    <comment ref="H2" authorId="1" shapeId="0" xr:uid="{4D5DB528-7E2D-754C-A7C2-4772B7E69583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Units: mmol m-2s-1.
</t>
        </r>
        <r>
          <rPr>
            <sz val="9"/>
            <color rgb="FF000000"/>
            <rFont val="Tahoma"/>
            <family val="2"/>
          </rPr>
          <t xml:space="preserve">Conductancia estomática foliar, de las hojas nuevas. Variable relacionada con la transpiración de agua a través de los estomas. </t>
        </r>
      </text>
    </comment>
    <comment ref="I2" authorId="1" shapeId="0" xr:uid="{B0C27AE8-43B1-E74B-9F54-C2A95166B954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Units: mmol m-2s-1.
</t>
        </r>
        <r>
          <rPr>
            <sz val="9"/>
            <color rgb="FF000000"/>
            <rFont val="Tahoma"/>
            <family val="2"/>
          </rPr>
          <t>Conductancia estomática foliar de las hojas viejas. Variable relacionada con la transpiración de agua a través de los estomas.</t>
        </r>
      </text>
    </comment>
    <comment ref="J2" authorId="1" shapeId="0" xr:uid="{70B3FDA1-F762-2645-B995-4CF3BE16865E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Uds: g m-2
</t>
        </r>
        <r>
          <rPr>
            <sz val="9"/>
            <color rgb="FF000000"/>
            <rFont val="Tahoma"/>
            <family val="2"/>
          </rPr>
          <t>LMA de hojas viejas</t>
        </r>
      </text>
    </comment>
    <comment ref="K2" authorId="1" shapeId="0" xr:uid="{CCDBEDB1-C03F-A443-9FDA-98CE44CAFE71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Uds: g m-2
</t>
        </r>
        <r>
          <rPr>
            <sz val="9"/>
            <color rgb="FF000000"/>
            <rFont val="Tahoma"/>
            <family val="2"/>
          </rPr>
          <t>LMA de hojas nuevas</t>
        </r>
      </text>
    </comment>
    <comment ref="L2" authorId="1" shapeId="0" xr:uid="{F96138C7-F0E8-1540-BCA9-079D9B25D3A0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Huber value (adimensional; aunque es la sección del xilema dividido por la superficie de hojas que alimenta, es decir cm2 cm-2, por 10elevado a -4, para que los valores no tengan muchos ceros).</t>
        </r>
      </text>
    </comment>
    <comment ref="M2" authorId="1" shapeId="0" xr:uid="{C2137330-A796-EA4A-BFCE-162F209B13E5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Huber value del brote nuevo.</t>
        </r>
      </text>
    </comment>
    <comment ref="N2" authorId="1" shapeId="0" xr:uid="{16618E44-57AA-FD4A-85E5-48110ECED1B8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Contenido hídrico relativo del brote cortado (%). 
</t>
        </r>
        <r>
          <rPr>
            <sz val="9"/>
            <color rgb="FF000000"/>
            <rFont val="Tahoma"/>
            <family val="2"/>
          </rPr>
          <t xml:space="preserve">Agua del brote con respecto al máximo agua que puede contener. </t>
        </r>
      </text>
    </comment>
    <comment ref="O2" authorId="1" shapeId="0" xr:uid="{1C012578-A393-A542-AE83-61B8DAE1070F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Contenido hídrico del brote cortado, relativo al peso seco. Agua del brote con respecto a su peso seco. </t>
        </r>
      </text>
    </comment>
    <comment ref="P2" authorId="1" shapeId="0" xr:uid="{6AD689AE-AD3E-2B40-84A2-758766161139}">
      <text>
        <r>
          <rPr>
            <b/>
            <sz val="9"/>
            <color rgb="FF000000"/>
            <rFont val="Tahoma"/>
            <family val="2"/>
          </rPr>
          <t>Jesus: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Porcentaje de hojas muertas. </t>
        </r>
      </text>
    </comment>
    <comment ref="Q2" authorId="2" shapeId="0" xr:uid="{48606F19-774D-9045-A61F-CD5FC235591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Fuel Moisture Content (%)
</t>
        </r>
      </text>
    </comment>
    <comment ref="R2" authorId="2" shapeId="0" xr:uid="{8CF5B125-B1D2-A644-A86B-CA944AF54CE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Peak of Heat Release Rate (KW/ m2)</t>
        </r>
      </text>
    </comment>
    <comment ref="U2" authorId="2" shapeId="0" xr:uid="{6BCC5326-F339-EF42-8444-4758E364FF2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Time to Ignition (s): tf-t0
</t>
        </r>
      </text>
    </comment>
    <comment ref="V2" authorId="2" shapeId="0" xr:uid="{7B87C7A7-897D-7246-AEEE-4832B2FC412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Heat Release Ratio
</t>
        </r>
        <r>
          <rPr>
            <sz val="10"/>
            <color rgb="FF000000"/>
            <rFont val="Calibri"/>
            <family val="2"/>
          </rPr>
          <t>(KW/ m2)</t>
        </r>
      </text>
    </comment>
    <comment ref="W2" authorId="2" shapeId="0" xr:uid="{50B172DF-998B-C142-944B-84ED1CD42B7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Average Effective Heat of Combustion 
</t>
        </r>
        <r>
          <rPr>
            <sz val="10"/>
            <color rgb="FF000000"/>
            <rFont val="Calibri"/>
            <family val="2"/>
          </rPr>
          <t xml:space="preserve">(MJ/kg)
</t>
        </r>
      </text>
    </comment>
    <comment ref="X2" authorId="2" shapeId="0" xr:uid="{C33011EA-FE5C-374B-BAC2-6336EA79D51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Total Heat Release
</t>
        </r>
        <r>
          <rPr>
            <sz val="10"/>
            <color rgb="FF000000"/>
            <rFont val="Calibri"/>
            <family val="2"/>
          </rPr>
          <t xml:space="preserve">(MJ/m2)
</t>
        </r>
      </text>
    </comment>
    <comment ref="AA2" authorId="2" shapeId="0" xr:uid="{97575F99-C14E-BA47-A40B-224FD4887E4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Residual Mass Fraction (%)</t>
        </r>
      </text>
    </comment>
    <comment ref="AB2" authorId="2" shapeId="0" xr:uid="{876A3448-4A0D-D341-8CBA-7194F97B5E5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Mass Lost Rate 
</t>
        </r>
        <r>
          <rPr>
            <sz val="10"/>
            <color rgb="FF000000"/>
            <rFont val="Tahoma"/>
            <family val="2"/>
          </rPr>
          <t>(g/s)</t>
        </r>
      </text>
    </comment>
    <comment ref="AC2" authorId="2" shapeId="0" xr:uid="{D0AA1F15-CE1A-ED41-A1C2-2C286A45BA4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Clorofila de hojas nuevas </t>
        </r>
      </text>
    </comment>
    <comment ref="AE2" authorId="2" shapeId="0" xr:uid="{C3743EBC-DE02-C34B-AA9D-34BF41BC296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Flavonoles de hojas nuevas</t>
        </r>
      </text>
    </comment>
    <comment ref="AG2" authorId="2" shapeId="0" xr:uid="{3FE98F54-1CF6-8846-AC36-861A34072A3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Antocianinas de hojas nuevas </t>
        </r>
      </text>
    </comment>
    <comment ref="AI2" authorId="2" shapeId="0" xr:uid="{84749D7C-D8A2-704A-A4BD-5D297A84A14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Índice de balance de nitrógeno en hojas nuevas </t>
        </r>
      </text>
    </comment>
    <comment ref="AK2" authorId="2" shapeId="0" xr:uid="{EF11D7F8-FF79-864B-AE8C-EA7ED565CF0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Clorofila de hojas viejas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M2" authorId="2" shapeId="0" xr:uid="{591FE4FF-3C26-E14B-B5E1-DC812570AD9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Flavonoles de hojas viejas
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AO2" authorId="2" shapeId="0" xr:uid="{BEFD3F9E-7FC3-A34D-8A56-82B60A0CC3A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Antocianinas de hojas viejas
</t>
        </r>
      </text>
    </comment>
    <comment ref="AQ2" authorId="2" shapeId="0" xr:uid="{2E32334B-0F78-E94F-8CDE-0B049B479C8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Índice de balance de nitrógeno en hojas vejas
</t>
        </r>
      </text>
    </comment>
  </commentList>
</comments>
</file>

<file path=xl/sharedStrings.xml><?xml version="1.0" encoding="utf-8"?>
<sst xmlns="http://schemas.openxmlformats.org/spreadsheetml/2006/main" count="188" uniqueCount="57">
  <si>
    <t>Variables explicativas</t>
  </si>
  <si>
    <t>Medidas de fisiología analizadas en laboratorio</t>
  </si>
  <si>
    <t>Medidas de inflamabilidad analizadas en laboratorio con cono calorimétrico</t>
  </si>
  <si>
    <t>Medidas de fisiología tomadas en campo con Dualex</t>
  </si>
  <si>
    <t>site</t>
  </si>
  <si>
    <t>year</t>
  </si>
  <si>
    <t>date</t>
  </si>
  <si>
    <t>treatment</t>
  </si>
  <si>
    <t>Sp/plot?</t>
  </si>
  <si>
    <t>Plant/plot</t>
  </si>
  <si>
    <t>Yw</t>
  </si>
  <si>
    <t>gs_new</t>
  </si>
  <si>
    <t>gs_old</t>
  </si>
  <si>
    <t>LMA_old</t>
  </si>
  <si>
    <t>LMA_new</t>
  </si>
  <si>
    <t>HV_old</t>
  </si>
  <si>
    <t>HV_new</t>
  </si>
  <si>
    <t>CHR</t>
  </si>
  <si>
    <t>CHR_S</t>
  </si>
  <si>
    <t>%HM</t>
  </si>
  <si>
    <t xml:space="preserve">FMC </t>
  </si>
  <si>
    <t>PHRR</t>
  </si>
  <si>
    <t>t0</t>
  </si>
  <si>
    <t>tf</t>
  </si>
  <si>
    <t>TTI</t>
  </si>
  <si>
    <t>mean_HRR</t>
  </si>
  <si>
    <t>AEHC</t>
  </si>
  <si>
    <t xml:space="preserve">THR </t>
  </si>
  <si>
    <t>Initial_mass</t>
  </si>
  <si>
    <t>Residual_mass</t>
  </si>
  <si>
    <t>RMF</t>
  </si>
  <si>
    <t>mean_MLR</t>
  </si>
  <si>
    <t>Chl_new</t>
  </si>
  <si>
    <t>Chl_sd_new</t>
  </si>
  <si>
    <t>Flav_new</t>
  </si>
  <si>
    <t>Flav_sd_new</t>
  </si>
  <si>
    <t>Anth_new</t>
  </si>
  <si>
    <t>Anth_sd_new</t>
  </si>
  <si>
    <t>NBI_new</t>
  </si>
  <si>
    <t>NBI_sd_new</t>
  </si>
  <si>
    <t>Chl_old</t>
  </si>
  <si>
    <t>Chl_sd_old</t>
  </si>
  <si>
    <t>Flav_old</t>
  </si>
  <si>
    <t>Flav_sd_old</t>
  </si>
  <si>
    <t>Anth_old</t>
  </si>
  <si>
    <t>Anth_sd_old</t>
  </si>
  <si>
    <t>NBI_old</t>
  </si>
  <si>
    <t>NBI_sd_old</t>
  </si>
  <si>
    <t>toledo</t>
  </si>
  <si>
    <t>2022_06_07</t>
  </si>
  <si>
    <t>hyper</t>
  </si>
  <si>
    <t>cistus_ladanifer</t>
  </si>
  <si>
    <t>quercus_ilex</t>
  </si>
  <si>
    <t>NA</t>
  </si>
  <si>
    <t>high</t>
  </si>
  <si>
    <t>control</t>
  </si>
  <si>
    <t>270(362)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</si>
</sst>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6" borderId="6" xfId="0" applyFont="1" applyFill="1" applyBorder="1" applyAlignment="1">
      <alignment horizontal="left"/>
    </xf>
    <xf numFmtId="0" fontId="1" fillId="7" borderId="6" xfId="0" applyFont="1" applyFill="1" applyBorder="1" applyAlignment="1">
      <alignment vertical="center"/>
    </xf>
    <xf numFmtId="0" fontId="1" fillId="7" borderId="6" xfId="0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/>
    </xf>
    <xf numFmtId="0" fontId="1" fillId="10" borderId="6" xfId="0" applyFont="1" applyFill="1" applyBorder="1" applyAlignment="1">
      <alignment horizontal="left" vertical="center"/>
    </xf>
    <xf numFmtId="0" fontId="0" fillId="0" borderId="6" xfId="0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9" borderId="0" xfId="0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2" fillId="9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11" borderId="0" xfId="0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84DE-4983-654F-8E46-9A1E0104DB54}">
  <dimension ref="A1:AR32"/>
  <sheetViews>
    <sheetView tabSelected="1" topLeftCell="C1" workbookViewId="0">
      <selection activeCell="AA14" sqref="AA14"/>
    </sheetView>
  </sheetViews>
  <sheetFormatPr baseColWidth="10" defaultRowHeight="16" x14ac:dyDescent="0.2"/>
  <sheetData>
    <row r="1" spans="1:44" x14ac:dyDescent="0.2">
      <c r="A1" s="16" t="s">
        <v>0</v>
      </c>
      <c r="B1" s="17"/>
      <c r="C1" s="17"/>
      <c r="D1" s="17"/>
      <c r="E1" s="17"/>
      <c r="F1" s="18"/>
      <c r="G1" s="19" t="s">
        <v>1</v>
      </c>
      <c r="H1" s="20"/>
      <c r="I1" s="20"/>
      <c r="J1" s="20"/>
      <c r="K1" s="20"/>
      <c r="L1" s="20"/>
      <c r="M1" s="20"/>
      <c r="N1" s="20"/>
      <c r="O1" s="20"/>
      <c r="P1" s="20"/>
      <c r="Q1" s="21" t="s">
        <v>2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2" t="s">
        <v>3</v>
      </c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x14ac:dyDescent="0.2">
      <c r="A2" s="1" t="s">
        <v>4</v>
      </c>
      <c r="B2" s="1" t="s">
        <v>5</v>
      </c>
      <c r="C2" s="1" t="s">
        <v>6</v>
      </c>
      <c r="D2" s="2" t="s">
        <v>7</v>
      </c>
      <c r="E2" s="2" t="s">
        <v>8</v>
      </c>
      <c r="F2" s="3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H2" s="6" t="s">
        <v>37</v>
      </c>
      <c r="AI2" s="6" t="s">
        <v>38</v>
      </c>
      <c r="AJ2" s="6" t="s">
        <v>39</v>
      </c>
      <c r="AK2" s="6" t="s">
        <v>40</v>
      </c>
      <c r="AL2" s="6" t="s">
        <v>41</v>
      </c>
      <c r="AM2" s="6" t="s">
        <v>42</v>
      </c>
      <c r="AN2" s="6" t="s">
        <v>43</v>
      </c>
      <c r="AO2" s="6" t="s">
        <v>44</v>
      </c>
      <c r="AP2" s="6" t="s">
        <v>45</v>
      </c>
      <c r="AQ2" s="6" t="s">
        <v>46</v>
      </c>
      <c r="AR2" s="6" t="s">
        <v>47</v>
      </c>
    </row>
    <row r="3" spans="1:44" x14ac:dyDescent="0.2">
      <c r="A3" s="7" t="s">
        <v>48</v>
      </c>
      <c r="B3" s="7">
        <v>2022</v>
      </c>
      <c r="C3" s="7" t="s">
        <v>49</v>
      </c>
      <c r="D3" s="8" t="s">
        <v>50</v>
      </c>
      <c r="E3" s="8" t="s">
        <v>51</v>
      </c>
      <c r="F3" s="9">
        <v>48</v>
      </c>
      <c r="G3" s="23">
        <v>-1.1019999999999999</v>
      </c>
      <c r="H3" s="23">
        <v>415.9</v>
      </c>
      <c r="I3" s="23">
        <v>426.8</v>
      </c>
      <c r="J3" s="23">
        <v>230.05405405405403</v>
      </c>
      <c r="K3" s="23">
        <v>217.32241880116189</v>
      </c>
      <c r="L3" s="23">
        <v>2.561522090592335</v>
      </c>
      <c r="M3" s="23">
        <v>3.723961552680223</v>
      </c>
      <c r="N3" s="10">
        <v>60.492972023246381</v>
      </c>
      <c r="O3" s="23">
        <v>1.4438004917456972</v>
      </c>
      <c r="P3" s="10">
        <v>23.667017913593256</v>
      </c>
      <c r="Q3" s="11">
        <v>118.9</v>
      </c>
      <c r="R3" s="11">
        <v>90.810645650571402</v>
      </c>
      <c r="S3" s="10">
        <v>66</v>
      </c>
      <c r="T3" s="10">
        <v>155</v>
      </c>
      <c r="U3" s="11">
        <f t="shared" ref="U3:U5" si="0">T3-S3</f>
        <v>89</v>
      </c>
      <c r="V3" s="11">
        <v>62.044636745209502</v>
      </c>
      <c r="W3" s="11">
        <v>4.4624311255908848</v>
      </c>
      <c r="X3" s="11">
        <v>3.6268637521576101</v>
      </c>
      <c r="Y3" s="10">
        <v>21.9</v>
      </c>
      <c r="Z3" s="10">
        <v>0.6</v>
      </c>
      <c r="AA3" s="10">
        <f t="shared" ref="AA3:AA5" si="1">(Z3/Y3)*100</f>
        <v>2.7397260273972606</v>
      </c>
      <c r="AB3" s="11">
        <v>0.14063720561437651</v>
      </c>
      <c r="AC3" s="12">
        <v>30.823</v>
      </c>
      <c r="AD3" s="12">
        <v>2.9910000000000001</v>
      </c>
      <c r="AE3" s="12">
        <v>1.653</v>
      </c>
      <c r="AF3" s="10">
        <v>2.4E-2</v>
      </c>
      <c r="AG3" s="10">
        <v>0.25900000000000001</v>
      </c>
      <c r="AH3" s="10">
        <v>1.9E-2</v>
      </c>
      <c r="AI3" s="12">
        <v>18.649999999999999</v>
      </c>
      <c r="AJ3" s="12">
        <v>1.7949999999999999</v>
      </c>
      <c r="AK3" s="12">
        <v>40.076999999999998</v>
      </c>
      <c r="AL3" s="12">
        <v>4.8710000000000004</v>
      </c>
      <c r="AM3" s="12">
        <v>1.9239999999999999</v>
      </c>
      <c r="AN3" s="10">
        <v>8.6999999999999994E-2</v>
      </c>
      <c r="AO3" s="10">
        <v>0.23499999999999999</v>
      </c>
      <c r="AP3" s="10">
        <v>3.7999999999999999E-2</v>
      </c>
      <c r="AQ3" s="10">
        <v>0.23499999999999999</v>
      </c>
      <c r="AR3" s="12">
        <v>3.5489999999999999</v>
      </c>
    </row>
    <row r="4" spans="1:44" x14ac:dyDescent="0.2">
      <c r="A4" s="7" t="s">
        <v>48</v>
      </c>
      <c r="B4" s="7">
        <v>2022</v>
      </c>
      <c r="C4" s="7" t="s">
        <v>49</v>
      </c>
      <c r="D4" s="8" t="s">
        <v>50</v>
      </c>
      <c r="E4" s="8" t="s">
        <v>51</v>
      </c>
      <c r="F4" s="9">
        <v>44</v>
      </c>
      <c r="G4" s="23">
        <v>-1.03</v>
      </c>
      <c r="H4" s="23">
        <v>513.4</v>
      </c>
      <c r="I4" s="23">
        <v>521.70000000000005</v>
      </c>
      <c r="J4" s="23">
        <v>215.03067484662577</v>
      </c>
      <c r="K4" s="23">
        <v>253.50491026075176</v>
      </c>
      <c r="L4" s="23">
        <v>4.03377259485704</v>
      </c>
      <c r="M4" s="23">
        <v>4.3576002709109387</v>
      </c>
      <c r="N4" s="10">
        <v>83.336437904148596</v>
      </c>
      <c r="O4" s="23">
        <v>2.2256718615781081</v>
      </c>
      <c r="P4" s="10">
        <v>0</v>
      </c>
      <c r="Q4" s="13">
        <v>145.30000000000001</v>
      </c>
      <c r="R4" s="13">
        <v>74.495307340263196</v>
      </c>
      <c r="S4" s="14">
        <v>113</v>
      </c>
      <c r="T4" s="14">
        <v>137</v>
      </c>
      <c r="U4" s="13">
        <f t="shared" si="0"/>
        <v>24</v>
      </c>
      <c r="V4" s="13">
        <v>53.230850523228803</v>
      </c>
      <c r="W4" s="13">
        <v>3.6051357309925498</v>
      </c>
      <c r="X4" s="13">
        <v>1.2775404125574901</v>
      </c>
      <c r="Y4" s="14">
        <v>24.5</v>
      </c>
      <c r="Z4" s="14">
        <v>0.6</v>
      </c>
      <c r="AA4" s="14">
        <f t="shared" si="1"/>
        <v>2.4489795918367347</v>
      </c>
      <c r="AB4" s="13">
        <v>0.149299083333333</v>
      </c>
      <c r="AC4" s="12">
        <v>37.137999999999998</v>
      </c>
      <c r="AD4" s="12">
        <v>1.7490000000000001</v>
      </c>
      <c r="AE4" s="12">
        <v>1.663</v>
      </c>
      <c r="AF4" s="10">
        <v>0.13900000000000001</v>
      </c>
      <c r="AG4" s="10">
        <v>0.222</v>
      </c>
      <c r="AH4" s="10">
        <v>1.6E-2</v>
      </c>
      <c r="AI4" s="12">
        <v>22.146999999999998</v>
      </c>
      <c r="AJ4" s="12">
        <v>1.9410000000000001</v>
      </c>
      <c r="AK4" s="12">
        <v>39.305</v>
      </c>
      <c r="AL4" s="12">
        <v>1.9039999999999999</v>
      </c>
      <c r="AM4" s="12">
        <v>1.6879999999999999</v>
      </c>
      <c r="AN4" s="10">
        <v>6.5000000000000002E-2</v>
      </c>
      <c r="AO4" s="10">
        <v>0.29099999999999998</v>
      </c>
      <c r="AP4" s="10">
        <v>1.2999999999999999E-2</v>
      </c>
      <c r="AQ4" s="10">
        <v>0.29099999999999998</v>
      </c>
      <c r="AR4" s="12">
        <v>0.60499999999999998</v>
      </c>
    </row>
    <row r="5" spans="1:44" x14ac:dyDescent="0.2">
      <c r="A5" s="7" t="s">
        <v>48</v>
      </c>
      <c r="B5" s="7">
        <v>2022</v>
      </c>
      <c r="C5" s="7" t="s">
        <v>49</v>
      </c>
      <c r="D5" s="8" t="s">
        <v>50</v>
      </c>
      <c r="E5" s="8" t="s">
        <v>51</v>
      </c>
      <c r="F5" s="9">
        <v>53</v>
      </c>
      <c r="G5" s="23">
        <v>-2.1079999999999997</v>
      </c>
      <c r="H5" s="23">
        <v>487.5</v>
      </c>
      <c r="I5" s="23">
        <v>426.4</v>
      </c>
      <c r="J5" s="23">
        <v>298.15852682145714</v>
      </c>
      <c r="K5" s="23">
        <v>273.63510025809018</v>
      </c>
      <c r="L5" s="23">
        <v>4.2990071047957361</v>
      </c>
      <c r="M5" s="23">
        <v>3.4154063132817152</v>
      </c>
      <c r="N5" s="10">
        <v>63.596670411602496</v>
      </c>
      <c r="O5" s="23">
        <v>1.5235318402311901</v>
      </c>
      <c r="P5" s="10">
        <v>7.7149344617607598</v>
      </c>
      <c r="Q5" s="11">
        <v>110</v>
      </c>
      <c r="R5" s="11">
        <v>94.486806353825614</v>
      </c>
      <c r="S5" s="10">
        <v>34</v>
      </c>
      <c r="T5" s="10">
        <v>200</v>
      </c>
      <c r="U5" s="11">
        <f t="shared" si="0"/>
        <v>166</v>
      </c>
      <c r="V5" s="11">
        <v>55.763698978669055</v>
      </c>
      <c r="W5" s="11">
        <v>5.1227418336338104</v>
      </c>
      <c r="X5" s="11">
        <v>6.9788309364708745</v>
      </c>
      <c r="Y5" s="10">
        <v>21</v>
      </c>
      <c r="Z5" s="10">
        <v>0.55000000000000004</v>
      </c>
      <c r="AA5" s="10">
        <f t="shared" si="1"/>
        <v>2.6190476190476191</v>
      </c>
      <c r="AB5" s="11">
        <v>0.11229642344377511</v>
      </c>
      <c r="AC5" s="12">
        <v>29.975000000000001</v>
      </c>
      <c r="AD5" s="12">
        <v>5.8639999999999999</v>
      </c>
      <c r="AE5" s="12">
        <v>1.6579999999999999</v>
      </c>
      <c r="AF5" s="10">
        <v>4.1000000000000002E-2</v>
      </c>
      <c r="AG5" s="10">
        <v>0.26800000000000002</v>
      </c>
      <c r="AH5" s="10">
        <v>5.6000000000000001E-2</v>
      </c>
      <c r="AI5" s="12">
        <v>18.035</v>
      </c>
      <c r="AJ5" s="12">
        <v>3.2320000000000002</v>
      </c>
      <c r="AK5" s="12">
        <v>28.702999999999999</v>
      </c>
      <c r="AL5" s="12">
        <v>5.0709999999999997</v>
      </c>
      <c r="AM5" s="12">
        <v>1.8149999999999999</v>
      </c>
      <c r="AN5" s="10">
        <v>8.8999999999999996E-2</v>
      </c>
      <c r="AO5" s="10">
        <v>0.34699999999999998</v>
      </c>
      <c r="AP5" s="10">
        <v>2.9000000000000001E-2</v>
      </c>
      <c r="AQ5" s="10">
        <v>0.34699999999999998</v>
      </c>
      <c r="AR5" s="12">
        <v>3.0339999999999998</v>
      </c>
    </row>
    <row r="6" spans="1:44" x14ac:dyDescent="0.2">
      <c r="A6" s="7" t="s">
        <v>48</v>
      </c>
      <c r="B6" s="7">
        <v>2022</v>
      </c>
      <c r="C6" s="7" t="s">
        <v>49</v>
      </c>
      <c r="D6" s="8" t="s">
        <v>50</v>
      </c>
      <c r="E6" s="8" t="s">
        <v>51</v>
      </c>
      <c r="F6" s="9">
        <v>66</v>
      </c>
      <c r="G6" s="23">
        <v>-2.048</v>
      </c>
      <c r="H6" s="23">
        <v>456</v>
      </c>
      <c r="I6" s="23">
        <v>468</v>
      </c>
      <c r="J6" s="23">
        <v>212.77465508431271</v>
      </c>
      <c r="K6" s="23">
        <v>161.80048661800487</v>
      </c>
      <c r="L6" s="23">
        <v>4.9113123823975702</v>
      </c>
      <c r="M6" s="23">
        <v>5.9927357664233574</v>
      </c>
      <c r="N6" s="10">
        <v>67.831734804805222</v>
      </c>
      <c r="O6" s="23">
        <v>1.6144539583272453</v>
      </c>
      <c r="P6" s="10">
        <v>15.392033665507466</v>
      </c>
      <c r="Q6" s="11">
        <v>110.5</v>
      </c>
      <c r="R6" s="11">
        <v>59.105671700000002</v>
      </c>
      <c r="S6" s="10">
        <v>163</v>
      </c>
      <c r="T6" s="10">
        <v>233</v>
      </c>
      <c r="U6" s="11">
        <f>T6-S6</f>
        <v>70</v>
      </c>
      <c r="V6" s="11">
        <v>42.729900638753101</v>
      </c>
      <c r="W6" s="11">
        <v>5.3193367955106554</v>
      </c>
      <c r="X6" s="11">
        <v>3.0050942426568197</v>
      </c>
      <c r="Y6" s="10">
        <v>21.1</v>
      </c>
      <c r="Z6" s="10">
        <v>0.55000000000000004</v>
      </c>
      <c r="AA6" s="10">
        <f>(Z6/Y6)*100</f>
        <v>2.6066350710900474</v>
      </c>
      <c r="AB6" s="11">
        <v>9.6004584523809541E-2</v>
      </c>
      <c r="AC6" s="12">
        <v>36.017000000000003</v>
      </c>
      <c r="AD6" s="12">
        <v>0.76900000000000002</v>
      </c>
      <c r="AE6" s="12">
        <v>1.6870000000000001</v>
      </c>
      <c r="AF6" s="10">
        <v>4.0000000000000001E-3</v>
      </c>
      <c r="AG6" s="10">
        <v>0.23400000000000001</v>
      </c>
      <c r="AH6" s="10">
        <v>1.9E-2</v>
      </c>
      <c r="AI6" s="12">
        <v>21.347000000000001</v>
      </c>
      <c r="AJ6" s="12">
        <v>0.42199999999999999</v>
      </c>
      <c r="AK6" s="12">
        <v>30.54</v>
      </c>
      <c r="AL6" s="12">
        <v>4.5839999999999996</v>
      </c>
      <c r="AM6" s="12">
        <v>1.833</v>
      </c>
      <c r="AN6" s="10">
        <v>0.13300000000000001</v>
      </c>
      <c r="AO6" s="10">
        <v>0.32700000000000001</v>
      </c>
      <c r="AP6" s="10">
        <v>4.1000000000000002E-2</v>
      </c>
      <c r="AQ6" s="10">
        <v>0.32700000000000001</v>
      </c>
      <c r="AR6" s="12">
        <v>2.681</v>
      </c>
    </row>
    <row r="7" spans="1:44" x14ac:dyDescent="0.2">
      <c r="A7" s="7" t="s">
        <v>48</v>
      </c>
      <c r="B7" s="7">
        <v>2022</v>
      </c>
      <c r="C7" s="7" t="s">
        <v>49</v>
      </c>
      <c r="D7" s="8" t="s">
        <v>50</v>
      </c>
      <c r="E7" s="8" t="s">
        <v>51</v>
      </c>
      <c r="F7" s="9">
        <v>59</v>
      </c>
      <c r="G7" s="23">
        <v>-2.02</v>
      </c>
      <c r="H7" s="23">
        <v>431.8</v>
      </c>
      <c r="I7" s="23">
        <v>454.4</v>
      </c>
      <c r="J7" s="23">
        <v>277.92957746478874</v>
      </c>
      <c r="K7" s="23">
        <v>218.73963515754559</v>
      </c>
      <c r="L7" s="23">
        <v>3.0340226475012528</v>
      </c>
      <c r="M7" s="23">
        <v>5.1695731343283589</v>
      </c>
      <c r="N7" s="10">
        <v>69.116557054954882</v>
      </c>
      <c r="O7" s="23">
        <v>1.985871183393725</v>
      </c>
      <c r="P7" s="10">
        <v>3.5251818769135705</v>
      </c>
      <c r="Q7" s="11">
        <v>114.2</v>
      </c>
      <c r="R7" s="11">
        <v>104.52274176648899</v>
      </c>
      <c r="S7" s="10">
        <v>92</v>
      </c>
      <c r="T7" s="10">
        <v>123</v>
      </c>
      <c r="U7" s="11">
        <f t="shared" ref="U7:U9" si="2">T7-S7</f>
        <v>31</v>
      </c>
      <c r="V7" s="11">
        <v>67.97250059859806</v>
      </c>
      <c r="W7" s="11">
        <v>5.7708517237572554</v>
      </c>
      <c r="X7" s="11">
        <v>5.7745552843041699</v>
      </c>
      <c r="Y7" s="10">
        <v>21.4</v>
      </c>
      <c r="Z7" s="10">
        <v>0.6</v>
      </c>
      <c r="AA7" s="10">
        <f t="shared" ref="AA7:AA9" si="3">(Z7/Y7)*100</f>
        <v>2.8037383177570092</v>
      </c>
      <c r="AB7" s="11">
        <v>0.12134116098439249</v>
      </c>
      <c r="AC7" s="12">
        <v>34.283000000000001</v>
      </c>
      <c r="AD7" s="12">
        <v>3.024</v>
      </c>
      <c r="AE7" s="12">
        <v>1.639</v>
      </c>
      <c r="AF7" s="10">
        <v>4.7E-2</v>
      </c>
      <c r="AG7" s="10">
        <v>0.24</v>
      </c>
      <c r="AH7" s="10">
        <v>6.0000000000000001E-3</v>
      </c>
      <c r="AI7" s="12">
        <v>20.937000000000001</v>
      </c>
      <c r="AJ7" s="12">
        <v>2.032</v>
      </c>
      <c r="AK7" s="12">
        <v>33.424999999999997</v>
      </c>
      <c r="AL7" s="12">
        <v>4.43</v>
      </c>
      <c r="AM7" s="12">
        <v>1.873</v>
      </c>
      <c r="AN7" s="10">
        <v>7.6999999999999999E-2</v>
      </c>
      <c r="AO7" s="10">
        <v>0.29899999999999999</v>
      </c>
      <c r="AP7" s="10">
        <v>4.2999999999999997E-2</v>
      </c>
      <c r="AQ7" s="10">
        <v>0.29899999999999999</v>
      </c>
      <c r="AR7" s="12">
        <v>2.2799999999999998</v>
      </c>
    </row>
    <row r="8" spans="1:44" x14ac:dyDescent="0.2">
      <c r="A8" s="7" t="s">
        <v>48</v>
      </c>
      <c r="B8" s="7">
        <v>2022</v>
      </c>
      <c r="C8" s="7" t="s">
        <v>49</v>
      </c>
      <c r="D8" s="8" t="s">
        <v>50</v>
      </c>
      <c r="E8" s="8" t="s">
        <v>52</v>
      </c>
      <c r="F8" s="9">
        <v>82</v>
      </c>
      <c r="G8" s="23">
        <v>-2.04</v>
      </c>
      <c r="H8" s="23">
        <v>547.79999999999995</v>
      </c>
      <c r="I8" s="23">
        <v>553.6</v>
      </c>
      <c r="J8" s="23" t="s">
        <v>53</v>
      </c>
      <c r="K8" s="23">
        <v>158.49433710859427</v>
      </c>
      <c r="L8" s="23">
        <v>15.279654310344826</v>
      </c>
      <c r="M8" s="23">
        <v>5.0253041972018648</v>
      </c>
      <c r="N8" s="10">
        <v>82.389143127662948</v>
      </c>
      <c r="O8" s="23">
        <v>1.1575875486381322</v>
      </c>
      <c r="P8" s="10">
        <v>0</v>
      </c>
      <c r="Q8" s="11">
        <v>64.08</v>
      </c>
      <c r="R8" s="11">
        <v>97.697550439531497</v>
      </c>
      <c r="S8" s="10">
        <v>46</v>
      </c>
      <c r="T8" s="10">
        <v>208</v>
      </c>
      <c r="U8" s="11">
        <f t="shared" si="2"/>
        <v>162</v>
      </c>
      <c r="V8" s="11">
        <v>42.8184000711558</v>
      </c>
      <c r="W8" s="11">
        <v>6.0976609582892403</v>
      </c>
      <c r="X8" s="11">
        <v>6.9383136468117996</v>
      </c>
      <c r="Y8" s="10">
        <v>16.399999999999999</v>
      </c>
      <c r="Z8" s="10">
        <v>0.6</v>
      </c>
      <c r="AA8" s="10">
        <f t="shared" si="3"/>
        <v>3.6585365853658542</v>
      </c>
      <c r="AB8" s="11">
        <v>7.0619043467078202E-2</v>
      </c>
      <c r="AC8" s="12">
        <v>14.217000000000001</v>
      </c>
      <c r="AD8" s="12">
        <v>2.1440000000000001</v>
      </c>
      <c r="AE8" s="12">
        <v>1.8109999999999999</v>
      </c>
      <c r="AF8" s="10">
        <v>4.8000000000000001E-2</v>
      </c>
      <c r="AG8" s="10">
        <v>0.46300000000000002</v>
      </c>
      <c r="AH8" s="10">
        <v>2.8000000000000001E-2</v>
      </c>
      <c r="AI8" s="12">
        <v>7.8680000000000003</v>
      </c>
      <c r="AJ8" s="12">
        <v>1.391</v>
      </c>
      <c r="AK8" s="12">
        <v>30.138999999999999</v>
      </c>
      <c r="AL8" s="12">
        <v>3.5760000000000001</v>
      </c>
      <c r="AM8" s="12">
        <v>1.7090000000000001</v>
      </c>
      <c r="AN8" s="10">
        <v>4.3999999999999997E-2</v>
      </c>
      <c r="AO8" s="10">
        <v>0.24199999999999999</v>
      </c>
      <c r="AP8" s="10">
        <v>3.5000000000000003E-2</v>
      </c>
      <c r="AQ8" s="10">
        <v>0.24199999999999999</v>
      </c>
      <c r="AR8" s="12">
        <v>2.4279999999999999</v>
      </c>
    </row>
    <row r="9" spans="1:44" x14ac:dyDescent="0.2">
      <c r="A9" s="7" t="s">
        <v>48</v>
      </c>
      <c r="B9" s="7">
        <v>2022</v>
      </c>
      <c r="C9" s="7" t="s">
        <v>49</v>
      </c>
      <c r="D9" s="8" t="s">
        <v>50</v>
      </c>
      <c r="E9" s="8" t="s">
        <v>52</v>
      </c>
      <c r="F9" s="9">
        <v>160</v>
      </c>
      <c r="G9" s="23">
        <v>-1.8160000000000001</v>
      </c>
      <c r="H9" s="23">
        <v>527.6</v>
      </c>
      <c r="I9" s="23">
        <v>466.7</v>
      </c>
      <c r="J9" s="23" t="s">
        <v>53</v>
      </c>
      <c r="K9" s="23">
        <v>159.88833382309727</v>
      </c>
      <c r="L9" s="23" t="s">
        <v>53</v>
      </c>
      <c r="M9" s="23">
        <v>3.9004584190420215</v>
      </c>
      <c r="N9" s="10">
        <v>89.121880222090454</v>
      </c>
      <c r="O9" s="23">
        <v>1.9071016510841454</v>
      </c>
      <c r="P9" s="10">
        <v>0</v>
      </c>
      <c r="Q9" s="11">
        <v>96.6</v>
      </c>
      <c r="R9" s="11">
        <v>107.232345277975</v>
      </c>
      <c r="S9" s="10">
        <v>69</v>
      </c>
      <c r="T9" s="10">
        <v>123</v>
      </c>
      <c r="U9" s="11">
        <f t="shared" si="2"/>
        <v>54</v>
      </c>
      <c r="V9" s="11">
        <v>77.637703996877704</v>
      </c>
      <c r="W9" s="11">
        <v>4.9289358471796101</v>
      </c>
      <c r="X9" s="11">
        <v>4.1924360158314</v>
      </c>
      <c r="Y9" s="10">
        <v>19.600000000000001</v>
      </c>
      <c r="Z9" s="10">
        <v>0.3</v>
      </c>
      <c r="AA9" s="10">
        <f t="shared" si="3"/>
        <v>1.5306122448979589</v>
      </c>
      <c r="AB9" s="11">
        <v>0.15939213271604899</v>
      </c>
      <c r="AC9" s="12">
        <v>12.555</v>
      </c>
      <c r="AD9" s="12">
        <v>2.181</v>
      </c>
      <c r="AE9" s="12">
        <v>1.8779999999999999</v>
      </c>
      <c r="AF9" s="10">
        <v>0.11700000000000001</v>
      </c>
      <c r="AG9" s="10">
        <v>0.59199999999999997</v>
      </c>
      <c r="AH9" s="10">
        <v>0.14299999999999999</v>
      </c>
      <c r="AI9" s="12">
        <v>6.7279999999999998</v>
      </c>
      <c r="AJ9" s="12">
        <v>1.4159999999999999</v>
      </c>
      <c r="AK9" s="12">
        <v>42.744999999999997</v>
      </c>
      <c r="AL9" s="12">
        <v>2.5449999999999999</v>
      </c>
      <c r="AM9" s="12">
        <v>1.7589999999999999</v>
      </c>
      <c r="AN9" s="10">
        <v>1.9E-2</v>
      </c>
      <c r="AO9" s="10">
        <v>0.20799999999999999</v>
      </c>
      <c r="AP9" s="10">
        <v>2.8000000000000001E-2</v>
      </c>
      <c r="AQ9" s="10">
        <v>0.20799999999999999</v>
      </c>
      <c r="AR9" s="12">
        <v>1.6020000000000001</v>
      </c>
    </row>
    <row r="10" spans="1:44" x14ac:dyDescent="0.2">
      <c r="A10" s="7" t="s">
        <v>48</v>
      </c>
      <c r="B10" s="7">
        <v>2022</v>
      </c>
      <c r="C10" s="7" t="s">
        <v>49</v>
      </c>
      <c r="D10" s="8" t="s">
        <v>50</v>
      </c>
      <c r="E10" s="8" t="s">
        <v>52</v>
      </c>
      <c r="F10" s="9">
        <v>154</v>
      </c>
      <c r="G10" s="23">
        <v>-2.98</v>
      </c>
      <c r="H10" s="23">
        <v>397.5</v>
      </c>
      <c r="I10" s="23">
        <v>448.6</v>
      </c>
      <c r="J10" s="23">
        <v>191.13573407202219</v>
      </c>
      <c r="K10" s="23">
        <v>171.15689381933441</v>
      </c>
      <c r="L10" s="23">
        <v>4.2804532229450034</v>
      </c>
      <c r="M10" s="23">
        <v>6.9926738510301121</v>
      </c>
      <c r="N10" s="10">
        <v>89.802719274860038</v>
      </c>
      <c r="O10" s="23">
        <v>1.4127336664815844</v>
      </c>
      <c r="P10" s="10">
        <v>0</v>
      </c>
      <c r="Q10" s="11">
        <v>93.13</v>
      </c>
      <c r="R10" s="11">
        <v>35.344328552674703</v>
      </c>
      <c r="S10" s="10">
        <v>184</v>
      </c>
      <c r="T10" s="10">
        <v>191</v>
      </c>
      <c r="U10" s="11">
        <f>T10-S10</f>
        <v>7</v>
      </c>
      <c r="V10" s="11">
        <v>32.241712778556803</v>
      </c>
      <c r="W10" s="11">
        <v>3.4848101884504299</v>
      </c>
      <c r="X10" s="11">
        <v>0.22569198944989799</v>
      </c>
      <c r="Y10" s="10">
        <v>19.3</v>
      </c>
      <c r="Z10" s="10">
        <v>0.4</v>
      </c>
      <c r="AA10" s="10">
        <f>(Z10/Y10)*100</f>
        <v>2.0725388601036272</v>
      </c>
      <c r="AB10" s="11">
        <v>8.0875815476190396E-2</v>
      </c>
      <c r="AC10" s="12">
        <v>12.891999999999999</v>
      </c>
      <c r="AD10" s="12">
        <v>2.0329999999999999</v>
      </c>
      <c r="AE10" s="12">
        <v>1.8320000000000001</v>
      </c>
      <c r="AF10" s="10">
        <v>0.11</v>
      </c>
      <c r="AG10" s="10">
        <v>0.46200000000000002</v>
      </c>
      <c r="AH10" s="10">
        <v>0.11</v>
      </c>
      <c r="AI10" s="12">
        <v>7.0670000000000002</v>
      </c>
      <c r="AJ10" s="12">
        <v>1.2949999999999999</v>
      </c>
      <c r="AK10" s="12">
        <v>31.282</v>
      </c>
      <c r="AL10" s="12">
        <v>12.753</v>
      </c>
      <c r="AM10" s="12">
        <v>1.712</v>
      </c>
      <c r="AN10" s="10">
        <v>0.08</v>
      </c>
      <c r="AO10" s="10">
        <v>0.22</v>
      </c>
      <c r="AP10" s="10">
        <v>7.5999999999999998E-2</v>
      </c>
      <c r="AQ10" s="15">
        <v>0.22</v>
      </c>
      <c r="AR10" s="12">
        <v>8.1080000000000005</v>
      </c>
    </row>
    <row r="11" spans="1:44" x14ac:dyDescent="0.2">
      <c r="A11" s="7" t="s">
        <v>48</v>
      </c>
      <c r="B11" s="7">
        <v>2022</v>
      </c>
      <c r="C11" s="7" t="s">
        <v>49</v>
      </c>
      <c r="D11" s="8" t="s">
        <v>50</v>
      </c>
      <c r="E11" s="8" t="s">
        <v>52</v>
      </c>
      <c r="F11" s="9">
        <v>157</v>
      </c>
      <c r="G11" s="23">
        <v>-1.3029999999999999</v>
      </c>
      <c r="H11" s="23">
        <v>540.9</v>
      </c>
      <c r="I11" s="23">
        <v>495.6</v>
      </c>
      <c r="J11" s="23" t="s">
        <v>53</v>
      </c>
      <c r="K11" s="23">
        <v>182.63247863247864</v>
      </c>
      <c r="L11" s="23" t="s">
        <v>53</v>
      </c>
      <c r="M11" s="23">
        <v>7.9436832820512819</v>
      </c>
      <c r="N11" s="10">
        <v>90.249351161339064</v>
      </c>
      <c r="O11" s="23">
        <v>2.5096418732782366</v>
      </c>
      <c r="P11" s="10">
        <v>0</v>
      </c>
      <c r="Q11" s="13">
        <v>90.6</v>
      </c>
      <c r="R11" s="11">
        <v>39.194547283218</v>
      </c>
      <c r="S11" s="10" t="s">
        <v>53</v>
      </c>
      <c r="T11" s="10" t="s">
        <v>53</v>
      </c>
      <c r="U11" s="11" t="s">
        <v>53</v>
      </c>
      <c r="V11" s="11">
        <v>13.94616806</v>
      </c>
      <c r="W11" s="11">
        <v>2.33490681989147</v>
      </c>
      <c r="X11" s="11">
        <v>4.4535336360734403</v>
      </c>
      <c r="Y11" s="14">
        <v>19.100000000000001</v>
      </c>
      <c r="Z11" s="14">
        <v>0.4</v>
      </c>
      <c r="AA11" s="14">
        <f t="shared" ref="AA11:AA23" si="4">(Z11/Y11)*100</f>
        <v>2.0942408376963351</v>
      </c>
      <c r="AB11" s="13">
        <v>6.0124699583333302E-2</v>
      </c>
      <c r="AC11" s="12">
        <v>18.434999999999999</v>
      </c>
      <c r="AD11" s="12">
        <v>3.5409999999999999</v>
      </c>
      <c r="AE11" s="12">
        <v>2.0169999999999999</v>
      </c>
      <c r="AF11" s="10">
        <v>9.8000000000000004E-2</v>
      </c>
      <c r="AG11" s="10">
        <v>0.59499999999999997</v>
      </c>
      <c r="AH11" s="10">
        <v>0.14299999999999999</v>
      </c>
      <c r="AI11" s="12">
        <v>9.1929999999999996</v>
      </c>
      <c r="AJ11" s="12">
        <v>2.1059999999999999</v>
      </c>
      <c r="AK11" s="12">
        <v>38.796999999999997</v>
      </c>
      <c r="AL11" s="12">
        <v>7.1159999999999997</v>
      </c>
      <c r="AM11" s="12">
        <v>1.796</v>
      </c>
      <c r="AN11" s="10">
        <v>8.1000000000000003E-2</v>
      </c>
      <c r="AO11" s="10">
        <v>0.28599999999999998</v>
      </c>
      <c r="AP11" s="10">
        <v>0.13500000000000001</v>
      </c>
      <c r="AQ11" s="10">
        <v>0.28599999999999998</v>
      </c>
      <c r="AR11" s="12">
        <v>4.6630000000000003</v>
      </c>
    </row>
    <row r="12" spans="1:44" x14ac:dyDescent="0.2">
      <c r="A12" s="7" t="s">
        <v>48</v>
      </c>
      <c r="B12" s="7">
        <v>2022</v>
      </c>
      <c r="C12" s="7" t="s">
        <v>49</v>
      </c>
      <c r="D12" s="8" t="s">
        <v>50</v>
      </c>
      <c r="E12" s="8" t="s">
        <v>52</v>
      </c>
      <c r="F12" s="9">
        <v>155</v>
      </c>
      <c r="G12" s="23">
        <v>-1.6</v>
      </c>
      <c r="H12" s="23">
        <v>437.1</v>
      </c>
      <c r="I12" s="23">
        <v>435.2</v>
      </c>
      <c r="J12" s="23">
        <v>162.96296296296296</v>
      </c>
      <c r="K12" s="23">
        <v>186.39964788732397</v>
      </c>
      <c r="L12" s="23">
        <v>5.512698514068922</v>
      </c>
      <c r="M12" s="23">
        <v>5.4881207746478875</v>
      </c>
      <c r="N12" s="10">
        <v>89.970527045769771</v>
      </c>
      <c r="O12" s="23">
        <v>1.6515067735692561</v>
      </c>
      <c r="P12" s="10">
        <v>0</v>
      </c>
      <c r="Q12" s="11">
        <v>86.05</v>
      </c>
      <c r="R12" s="11">
        <v>52.159494588420451</v>
      </c>
      <c r="S12" s="10">
        <v>36</v>
      </c>
      <c r="T12" s="10">
        <v>73</v>
      </c>
      <c r="U12" s="11">
        <f t="shared" ref="U12:U23" si="5">T12-S12</f>
        <v>37</v>
      </c>
      <c r="V12" s="11">
        <v>33.793255856178298</v>
      </c>
      <c r="W12" s="11">
        <v>2.6509501692845303</v>
      </c>
      <c r="X12" s="11">
        <v>2.1290911962378201</v>
      </c>
      <c r="Y12" s="10">
        <v>18.600000000000001</v>
      </c>
      <c r="Z12" s="10">
        <v>0.4</v>
      </c>
      <c r="AA12" s="10">
        <f t="shared" si="4"/>
        <v>2.150537634408602</v>
      </c>
      <c r="AB12" s="11">
        <v>0.1273484906434485</v>
      </c>
      <c r="AC12" s="12">
        <v>15.023999999999999</v>
      </c>
      <c r="AD12" s="12">
        <v>3.024</v>
      </c>
      <c r="AE12" s="12">
        <v>1.917</v>
      </c>
      <c r="AF12" s="10">
        <v>2.4E-2</v>
      </c>
      <c r="AG12" s="10">
        <v>0.68</v>
      </c>
      <c r="AH12" s="10">
        <v>0.16400000000000001</v>
      </c>
      <c r="AI12" s="12">
        <v>7.8310000000000004</v>
      </c>
      <c r="AJ12" s="12">
        <v>1.5429999999999999</v>
      </c>
      <c r="AK12" s="12">
        <v>32.036999999999999</v>
      </c>
      <c r="AL12" s="12">
        <v>2.6629999999999998</v>
      </c>
      <c r="AM12" s="12">
        <v>1.7989999999999999</v>
      </c>
      <c r="AN12" s="10">
        <v>7.3999999999999996E-2</v>
      </c>
      <c r="AO12" s="10">
        <v>0.25900000000000001</v>
      </c>
      <c r="AP12" s="10">
        <v>4.1000000000000002E-2</v>
      </c>
      <c r="AQ12" s="10">
        <v>0.25900000000000001</v>
      </c>
      <c r="AR12" s="12">
        <v>2.1629999999999998</v>
      </c>
    </row>
    <row r="13" spans="1:44" x14ac:dyDescent="0.2">
      <c r="A13" s="7" t="s">
        <v>48</v>
      </c>
      <c r="B13" s="7">
        <v>2022</v>
      </c>
      <c r="C13" s="7" t="s">
        <v>49</v>
      </c>
      <c r="D13" s="8" t="s">
        <v>54</v>
      </c>
      <c r="E13" s="8" t="s">
        <v>51</v>
      </c>
      <c r="F13" s="9">
        <v>274</v>
      </c>
      <c r="G13" s="23">
        <v>-2.3479999999999999</v>
      </c>
      <c r="H13" s="23">
        <v>565.1</v>
      </c>
      <c r="I13" s="23">
        <v>392.9</v>
      </c>
      <c r="J13" s="23" t="s">
        <v>53</v>
      </c>
      <c r="K13" s="23">
        <v>253.05258467023168</v>
      </c>
      <c r="L13" s="23">
        <v>4.2846438232642026</v>
      </c>
      <c r="M13" s="23">
        <v>6.9301749999999993</v>
      </c>
      <c r="N13" s="10">
        <v>71.248051202100598</v>
      </c>
      <c r="O13" s="23">
        <v>1.9345328522597793</v>
      </c>
      <c r="P13" s="10">
        <v>5.0939992404101782</v>
      </c>
      <c r="Q13" s="11">
        <v>101</v>
      </c>
      <c r="R13" s="11">
        <v>147.75659279517399</v>
      </c>
      <c r="S13" s="10">
        <v>117</v>
      </c>
      <c r="T13" s="10">
        <v>187</v>
      </c>
      <c r="U13" s="11">
        <f t="shared" si="5"/>
        <v>70</v>
      </c>
      <c r="V13" s="11">
        <v>101.70565780455</v>
      </c>
      <c r="W13" s="11">
        <v>10.6888979266561</v>
      </c>
      <c r="X13" s="11">
        <v>7.1193960463185002</v>
      </c>
      <c r="Y13" s="10">
        <v>20.100000000000001</v>
      </c>
      <c r="Z13" s="10">
        <v>0.5</v>
      </c>
      <c r="AA13" s="10">
        <f t="shared" si="4"/>
        <v>2.4875621890547261</v>
      </c>
      <c r="AB13" s="11">
        <v>9.4755676785714296E-2</v>
      </c>
      <c r="AC13" s="12">
        <v>32.121000000000002</v>
      </c>
      <c r="AD13" s="12">
        <v>0.60799999999999998</v>
      </c>
      <c r="AE13" s="12">
        <v>1.6479999999999999</v>
      </c>
      <c r="AF13" s="10">
        <v>1.9E-2</v>
      </c>
      <c r="AG13" s="10">
        <v>0.254</v>
      </c>
      <c r="AH13" s="10">
        <v>1.7999999999999999E-2</v>
      </c>
      <c r="AI13" s="12">
        <v>19.489000000000001</v>
      </c>
      <c r="AJ13" s="12">
        <v>0.20100000000000001</v>
      </c>
      <c r="AK13" s="12">
        <v>28.206</v>
      </c>
      <c r="AL13" s="12">
        <v>3.0870000000000002</v>
      </c>
      <c r="AM13" s="12">
        <v>1.86</v>
      </c>
      <c r="AN13" s="10">
        <v>0.11</v>
      </c>
      <c r="AO13" s="10">
        <v>0.33500000000000002</v>
      </c>
      <c r="AP13" s="10">
        <v>3.1E-2</v>
      </c>
      <c r="AQ13" s="10">
        <v>0.33500000000000002</v>
      </c>
      <c r="AR13" s="12">
        <v>2.5630000000000002</v>
      </c>
    </row>
    <row r="14" spans="1:44" x14ac:dyDescent="0.2">
      <c r="A14" s="7" t="s">
        <v>48</v>
      </c>
      <c r="B14" s="7">
        <v>2022</v>
      </c>
      <c r="C14" s="7" t="s">
        <v>49</v>
      </c>
      <c r="D14" s="8" t="s">
        <v>54</v>
      </c>
      <c r="E14" s="8" t="s">
        <v>51</v>
      </c>
      <c r="F14" s="9">
        <v>273</v>
      </c>
      <c r="G14" s="23">
        <v>-2.1719999999999997</v>
      </c>
      <c r="H14" s="23">
        <v>509.5</v>
      </c>
      <c r="I14" s="23">
        <v>297</v>
      </c>
      <c r="J14" s="23">
        <v>237.32157850545761</v>
      </c>
      <c r="K14" s="23">
        <v>19.412340842311462</v>
      </c>
      <c r="L14" s="23">
        <v>2.3602911713636971</v>
      </c>
      <c r="M14" s="23">
        <v>3.23467874632713</v>
      </c>
      <c r="N14" s="10">
        <v>69.753910531035174</v>
      </c>
      <c r="O14" s="23">
        <v>1.9896259769259395</v>
      </c>
      <c r="P14" s="10">
        <v>14.281726832899144</v>
      </c>
      <c r="Q14" s="11">
        <v>108.3</v>
      </c>
      <c r="R14" s="11">
        <v>90.274586298861649</v>
      </c>
      <c r="S14" s="10">
        <v>79</v>
      </c>
      <c r="T14" s="10">
        <v>120</v>
      </c>
      <c r="U14" s="11">
        <f t="shared" si="5"/>
        <v>41</v>
      </c>
      <c r="V14" s="11">
        <v>65.952121093220995</v>
      </c>
      <c r="W14" s="11">
        <v>5.0924840173182648</v>
      </c>
      <c r="X14" s="11">
        <v>2.0924823433211048</v>
      </c>
      <c r="Y14" s="10">
        <v>20.8</v>
      </c>
      <c r="Z14" s="10">
        <v>0.6</v>
      </c>
      <c r="AA14" s="10">
        <f t="shared" si="4"/>
        <v>2.8846153846153846</v>
      </c>
      <c r="AB14" s="11">
        <v>0.12990442991869949</v>
      </c>
      <c r="AC14" s="12">
        <v>33.707999999999998</v>
      </c>
      <c r="AD14" s="12">
        <v>3.536</v>
      </c>
      <c r="AE14" s="12">
        <v>1.5840000000000001</v>
      </c>
      <c r="AF14" s="10">
        <v>3.4000000000000002E-2</v>
      </c>
      <c r="AG14" s="10">
        <v>0.247</v>
      </c>
      <c r="AH14" s="10">
        <v>1.2999999999999999E-2</v>
      </c>
      <c r="AI14" s="12">
        <v>21.312000000000001</v>
      </c>
      <c r="AJ14" s="12">
        <v>2.548</v>
      </c>
      <c r="AK14" s="12">
        <v>32.713000000000001</v>
      </c>
      <c r="AL14" s="12">
        <v>2.556</v>
      </c>
      <c r="AM14" s="12">
        <v>1.766</v>
      </c>
      <c r="AN14" s="10">
        <v>0.124</v>
      </c>
      <c r="AO14" s="10">
        <v>0.312</v>
      </c>
      <c r="AP14" s="10">
        <v>8.1000000000000003E-2</v>
      </c>
      <c r="AQ14" s="10">
        <v>0.312</v>
      </c>
      <c r="AR14" s="12">
        <v>0.873</v>
      </c>
    </row>
    <row r="15" spans="1:44" x14ac:dyDescent="0.2">
      <c r="A15" s="7" t="s">
        <v>48</v>
      </c>
      <c r="B15" s="7">
        <v>2022</v>
      </c>
      <c r="C15" s="7" t="s">
        <v>49</v>
      </c>
      <c r="D15" s="8" t="s">
        <v>54</v>
      </c>
      <c r="E15" s="8" t="s">
        <v>51</v>
      </c>
      <c r="F15" s="9">
        <v>184</v>
      </c>
      <c r="G15" s="23">
        <v>-1.72</v>
      </c>
      <c r="H15" s="23">
        <v>378.4</v>
      </c>
      <c r="I15" s="23">
        <v>281.39999999999998</v>
      </c>
      <c r="J15" s="23" t="s">
        <v>53</v>
      </c>
      <c r="K15" s="23">
        <v>222.44224422442244</v>
      </c>
      <c r="L15" s="23">
        <v>7.8569623762376226</v>
      </c>
      <c r="M15" s="23">
        <v>3.4750524752475251</v>
      </c>
      <c r="N15" s="10">
        <v>77.283809062244188</v>
      </c>
      <c r="O15" s="23">
        <v>2.021377107835943</v>
      </c>
      <c r="P15" s="10">
        <v>6.4361936308937286</v>
      </c>
      <c r="Q15" s="13">
        <v>119.6</v>
      </c>
      <c r="R15" s="13">
        <v>108.059460681468</v>
      </c>
      <c r="S15" s="14">
        <v>73</v>
      </c>
      <c r="T15" s="14">
        <v>104</v>
      </c>
      <c r="U15" s="13">
        <f t="shared" si="5"/>
        <v>31</v>
      </c>
      <c r="V15" s="13">
        <v>70.461796591139802</v>
      </c>
      <c r="W15" s="13">
        <v>4.8145608270090703</v>
      </c>
      <c r="X15" s="13">
        <v>2.1843156943253299</v>
      </c>
      <c r="Y15" s="14">
        <v>21.9</v>
      </c>
      <c r="Z15" s="14">
        <v>0.8</v>
      </c>
      <c r="AA15" s="14">
        <f t="shared" si="4"/>
        <v>3.6529680365296811</v>
      </c>
      <c r="AB15" s="13">
        <v>0.149117204301075</v>
      </c>
      <c r="AC15" s="12">
        <v>30.516999999999999</v>
      </c>
      <c r="AD15" s="12">
        <v>2.0049999999999999</v>
      </c>
      <c r="AE15" s="12">
        <v>1.5569999999999999</v>
      </c>
      <c r="AF15" s="10">
        <v>0.03</v>
      </c>
      <c r="AG15" s="10">
        <v>0.27300000000000002</v>
      </c>
      <c r="AH15" s="10">
        <v>3.1E-2</v>
      </c>
      <c r="AI15" s="12">
        <v>19.585000000000001</v>
      </c>
      <c r="AJ15" s="12">
        <v>0.91100000000000003</v>
      </c>
      <c r="AK15" s="12">
        <v>22.376999999999999</v>
      </c>
      <c r="AL15" s="12">
        <v>3.3319999999999999</v>
      </c>
      <c r="AM15" s="12">
        <v>1.5920000000000001</v>
      </c>
      <c r="AN15" s="10">
        <v>0.151</v>
      </c>
      <c r="AO15" s="10">
        <v>0.45600000000000002</v>
      </c>
      <c r="AP15" s="10">
        <v>0.11600000000000001</v>
      </c>
      <c r="AQ15" s="10">
        <v>0.45600000000000002</v>
      </c>
      <c r="AR15" s="12">
        <v>3.327</v>
      </c>
    </row>
    <row r="16" spans="1:44" x14ac:dyDescent="0.2">
      <c r="A16" s="7" t="s">
        <v>48</v>
      </c>
      <c r="B16" s="7">
        <v>2022</v>
      </c>
      <c r="C16" s="7" t="s">
        <v>49</v>
      </c>
      <c r="D16" s="8" t="s">
        <v>54</v>
      </c>
      <c r="E16" s="8" t="s">
        <v>51</v>
      </c>
      <c r="F16" s="9">
        <v>172</v>
      </c>
      <c r="G16" s="23">
        <v>-2.1019999999999999</v>
      </c>
      <c r="H16" s="23">
        <v>467.4</v>
      </c>
      <c r="I16" s="23">
        <v>319.2</v>
      </c>
      <c r="J16" s="23">
        <v>278.18017202354008</v>
      </c>
      <c r="K16" s="23">
        <v>224.45745780227347</v>
      </c>
      <c r="L16" s="23">
        <v>2.9903115560809814</v>
      </c>
      <c r="M16" s="23">
        <v>4.9307320013778853</v>
      </c>
      <c r="N16" s="10">
        <v>69.591624623779296</v>
      </c>
      <c r="O16" s="23">
        <v>1.9818346232612565</v>
      </c>
      <c r="P16" s="10">
        <v>3.0639112742360166</v>
      </c>
      <c r="Q16" s="11">
        <v>127.5</v>
      </c>
      <c r="R16" s="11">
        <v>93.105289901777454</v>
      </c>
      <c r="S16" s="10">
        <v>193</v>
      </c>
      <c r="T16" s="10">
        <v>260</v>
      </c>
      <c r="U16" s="11">
        <f t="shared" si="5"/>
        <v>67</v>
      </c>
      <c r="V16" s="11">
        <v>61.479033057376498</v>
      </c>
      <c r="W16" s="11">
        <v>8.2536915506999851</v>
      </c>
      <c r="X16" s="11">
        <v>3.4030231633672701</v>
      </c>
      <c r="Y16" s="10">
        <v>22.7</v>
      </c>
      <c r="Z16" s="10">
        <v>0.65</v>
      </c>
      <c r="AA16" s="10">
        <f t="shared" si="4"/>
        <v>2.8634361233480177</v>
      </c>
      <c r="AB16" s="11">
        <v>9.651072773102555E-2</v>
      </c>
      <c r="AC16" s="12">
        <v>34.585000000000001</v>
      </c>
      <c r="AD16" s="12">
        <v>1.925</v>
      </c>
      <c r="AE16" s="12">
        <v>1.5960000000000001</v>
      </c>
      <c r="AF16" s="10">
        <v>3.7999999999999999E-2</v>
      </c>
      <c r="AG16" s="10">
        <v>0.252</v>
      </c>
      <c r="AH16" s="10">
        <v>1.6E-2</v>
      </c>
      <c r="AI16" s="12">
        <v>21.666</v>
      </c>
      <c r="AJ16" s="12">
        <v>1.0369999999999999</v>
      </c>
      <c r="AK16" s="12">
        <v>35.923000000000002</v>
      </c>
      <c r="AL16" s="12">
        <v>3.7050000000000001</v>
      </c>
      <c r="AM16" s="12">
        <v>1.8009999999999999</v>
      </c>
      <c r="AN16" s="10">
        <v>0.14499999999999999</v>
      </c>
      <c r="AO16" s="10">
        <v>0.26</v>
      </c>
      <c r="AP16" s="10">
        <v>6.0000000000000001E-3</v>
      </c>
      <c r="AQ16" s="15">
        <v>0.26</v>
      </c>
      <c r="AR16" s="12">
        <v>2.9649999999999999</v>
      </c>
    </row>
    <row r="17" spans="1:44" x14ac:dyDescent="0.2">
      <c r="A17" s="7" t="s">
        <v>48</v>
      </c>
      <c r="B17" s="7">
        <v>2022</v>
      </c>
      <c r="C17" s="7" t="s">
        <v>49</v>
      </c>
      <c r="D17" s="8" t="s">
        <v>54</v>
      </c>
      <c r="E17" s="8" t="s">
        <v>51</v>
      </c>
      <c r="F17" s="9">
        <v>289</v>
      </c>
      <c r="G17" s="23">
        <v>-2.6160000000000001</v>
      </c>
      <c r="H17" s="23">
        <v>469.3</v>
      </c>
      <c r="I17" s="23">
        <v>431</v>
      </c>
      <c r="J17" s="23">
        <v>243.79160636758326</v>
      </c>
      <c r="K17" s="23">
        <v>218.96770107663079</v>
      </c>
      <c r="L17" s="23">
        <v>4.1583822042467142</v>
      </c>
      <c r="M17" s="23">
        <v>3.678795693476884</v>
      </c>
      <c r="N17" s="10">
        <v>63.972264734359875</v>
      </c>
      <c r="O17" s="23">
        <v>1.8612130288281541</v>
      </c>
      <c r="P17" s="10">
        <v>5.1815799326095098</v>
      </c>
      <c r="Q17" s="11">
        <v>147</v>
      </c>
      <c r="R17" s="11">
        <v>99.25661899688015</v>
      </c>
      <c r="S17" s="10">
        <v>93</v>
      </c>
      <c r="T17" s="10">
        <v>127</v>
      </c>
      <c r="U17" s="11">
        <f t="shared" si="5"/>
        <v>34</v>
      </c>
      <c r="V17" s="11">
        <v>65.425921448351943</v>
      </c>
      <c r="W17" s="11">
        <v>4.4334971687877154</v>
      </c>
      <c r="X17" s="11">
        <v>2.605352308114175</v>
      </c>
      <c r="Y17" s="10">
        <v>24.7</v>
      </c>
      <c r="Z17" s="10">
        <v>0.6</v>
      </c>
      <c r="AA17" s="10">
        <f t="shared" si="4"/>
        <v>2.42914979757085</v>
      </c>
      <c r="AB17" s="11">
        <v>0.14830144433551201</v>
      </c>
      <c r="AC17" s="12">
        <v>32.262</v>
      </c>
      <c r="AD17" s="12">
        <v>1.2609999999999999</v>
      </c>
      <c r="AE17" s="12">
        <v>1.6180000000000001</v>
      </c>
      <c r="AF17" s="10">
        <v>2.5999999999999999E-2</v>
      </c>
      <c r="AG17" s="10">
        <v>0.25700000000000001</v>
      </c>
      <c r="AH17" s="10">
        <v>2.4E-2</v>
      </c>
      <c r="AI17" s="12">
        <v>19.934000000000001</v>
      </c>
      <c r="AJ17" s="12">
        <v>0.67</v>
      </c>
      <c r="AK17" s="12">
        <v>35.658999999999999</v>
      </c>
      <c r="AL17" s="12">
        <v>2.2250000000000001</v>
      </c>
      <c r="AM17" s="12">
        <v>1.8440000000000001</v>
      </c>
      <c r="AN17" s="10">
        <v>6.9000000000000006E-2</v>
      </c>
      <c r="AO17" s="10">
        <v>0.27100000000000002</v>
      </c>
      <c r="AP17" s="10">
        <v>2.8000000000000001E-2</v>
      </c>
      <c r="AQ17" s="10">
        <v>0.27100000000000002</v>
      </c>
      <c r="AR17" s="12">
        <v>0.48899999999999999</v>
      </c>
    </row>
    <row r="18" spans="1:44" x14ac:dyDescent="0.2">
      <c r="A18" s="7" t="s">
        <v>48</v>
      </c>
      <c r="B18" s="7">
        <v>2022</v>
      </c>
      <c r="C18" s="7" t="s">
        <v>49</v>
      </c>
      <c r="D18" s="8" t="s">
        <v>54</v>
      </c>
      <c r="E18" s="8" t="s">
        <v>52</v>
      </c>
      <c r="F18" s="9">
        <v>336</v>
      </c>
      <c r="G18" s="23">
        <v>-1.25</v>
      </c>
      <c r="H18" s="23">
        <v>529.20000000000005</v>
      </c>
      <c r="I18" s="23">
        <v>471.8</v>
      </c>
      <c r="J18" s="23" t="s">
        <v>53</v>
      </c>
      <c r="K18" s="23">
        <v>175.91925018024514</v>
      </c>
      <c r="L18" s="23" t="s">
        <v>53</v>
      </c>
      <c r="M18" s="23">
        <v>4.6525653929343909</v>
      </c>
      <c r="N18" s="10">
        <v>87.629294073235172</v>
      </c>
      <c r="O18" s="23">
        <v>2.0593045580601577</v>
      </c>
      <c r="P18" s="10">
        <v>0</v>
      </c>
      <c r="Q18" s="11">
        <v>91.9</v>
      </c>
      <c r="R18" s="11">
        <v>127.90744164525</v>
      </c>
      <c r="S18" s="10">
        <v>77</v>
      </c>
      <c r="T18" s="10">
        <v>93</v>
      </c>
      <c r="U18" s="11">
        <f t="shared" si="5"/>
        <v>16</v>
      </c>
      <c r="V18" s="11">
        <v>97.563272554192295</v>
      </c>
      <c r="W18" s="11">
        <v>4.4217304971421196</v>
      </c>
      <c r="X18" s="11">
        <v>1.5610123608670801</v>
      </c>
      <c r="Y18" s="10">
        <v>19.2</v>
      </c>
      <c r="Z18" s="10">
        <v>0.4</v>
      </c>
      <c r="AA18" s="10">
        <f t="shared" si="4"/>
        <v>2.0833333333333335</v>
      </c>
      <c r="AB18" s="11">
        <v>0.223545171875</v>
      </c>
      <c r="AC18" s="12">
        <v>12.878</v>
      </c>
      <c r="AD18" s="12">
        <v>0.89900000000000002</v>
      </c>
      <c r="AE18" s="12">
        <v>1.7470000000000001</v>
      </c>
      <c r="AF18" s="10">
        <v>3.5000000000000003E-2</v>
      </c>
      <c r="AG18" s="10">
        <v>0.41499999999999998</v>
      </c>
      <c r="AH18" s="10">
        <v>6.0000000000000001E-3</v>
      </c>
      <c r="AI18" s="12">
        <v>7.3789999999999996</v>
      </c>
      <c r="AJ18" s="12">
        <v>0.66200000000000003</v>
      </c>
      <c r="AK18" s="12">
        <v>25.664000000000001</v>
      </c>
      <c r="AL18" s="12">
        <v>1.7190000000000001</v>
      </c>
      <c r="AM18" s="12">
        <v>1.7909999999999999</v>
      </c>
      <c r="AN18" s="10">
        <v>5.8999999999999997E-2</v>
      </c>
      <c r="AO18" s="10">
        <v>0.28699999999999998</v>
      </c>
      <c r="AP18" s="10">
        <v>8.0000000000000002E-3</v>
      </c>
      <c r="AQ18" s="10">
        <v>0.28699999999999998</v>
      </c>
      <c r="AR18" s="12">
        <v>1.2490000000000001</v>
      </c>
    </row>
    <row r="19" spans="1:44" x14ac:dyDescent="0.2">
      <c r="A19" s="7" t="s">
        <v>48</v>
      </c>
      <c r="B19" s="7">
        <v>2022</v>
      </c>
      <c r="C19" s="7" t="s">
        <v>49</v>
      </c>
      <c r="D19" s="8" t="s">
        <v>54</v>
      </c>
      <c r="E19" s="8" t="s">
        <v>52</v>
      </c>
      <c r="F19" s="9">
        <v>195</v>
      </c>
      <c r="G19" s="23">
        <v>-1.22</v>
      </c>
      <c r="H19" s="23">
        <v>489.5</v>
      </c>
      <c r="I19" s="23">
        <v>513.4</v>
      </c>
      <c r="J19" s="23">
        <v>177.09497206703912</v>
      </c>
      <c r="K19" s="23">
        <v>211.17021276595742</v>
      </c>
      <c r="L19" s="23">
        <v>6.9924128388017133</v>
      </c>
      <c r="M19" s="23">
        <v>4.8341489361702132</v>
      </c>
      <c r="N19" s="10">
        <v>94.697687001217361</v>
      </c>
      <c r="O19" s="23">
        <v>1.5922467458970004</v>
      </c>
      <c r="P19" s="10">
        <v>0</v>
      </c>
      <c r="Q19" s="11">
        <v>105.53</v>
      </c>
      <c r="R19" s="11">
        <v>59.392145836989698</v>
      </c>
      <c r="S19" s="10">
        <v>46</v>
      </c>
      <c r="T19" s="10">
        <v>103</v>
      </c>
      <c r="U19" s="11">
        <f t="shared" si="5"/>
        <v>57</v>
      </c>
      <c r="V19" s="11">
        <v>43.343702748676606</v>
      </c>
      <c r="W19" s="11">
        <v>5.5767227918814655</v>
      </c>
      <c r="X19" s="11">
        <v>1.5975969260382348</v>
      </c>
      <c r="Y19" s="10">
        <v>20.6</v>
      </c>
      <c r="Z19" s="10">
        <v>0.45</v>
      </c>
      <c r="AA19" s="10">
        <f t="shared" si="4"/>
        <v>2.1844660194174756</v>
      </c>
      <c r="AB19" s="11">
        <v>9.6930254647034364E-2</v>
      </c>
      <c r="AC19" s="12">
        <v>12.326000000000001</v>
      </c>
      <c r="AD19" s="12">
        <v>3.2440000000000002</v>
      </c>
      <c r="AE19" s="12">
        <v>1.9390000000000001</v>
      </c>
      <c r="AF19" s="10">
        <v>0.129</v>
      </c>
      <c r="AG19" s="10">
        <v>0.69399999999999995</v>
      </c>
      <c r="AH19" s="10">
        <v>0.188</v>
      </c>
      <c r="AI19" s="12">
        <v>6.3019999999999996</v>
      </c>
      <c r="AJ19" s="12">
        <v>1.224</v>
      </c>
      <c r="AK19" s="12">
        <v>30.332999999999998</v>
      </c>
      <c r="AL19" s="12">
        <v>3.2549999999999999</v>
      </c>
      <c r="AM19" s="12">
        <v>1.7609999999999999</v>
      </c>
      <c r="AN19" s="10">
        <v>4.3999999999999997E-2</v>
      </c>
      <c r="AO19" s="10">
        <v>0.23699999999999999</v>
      </c>
      <c r="AP19" s="10">
        <v>2.9000000000000001E-2</v>
      </c>
      <c r="AQ19" s="10">
        <v>0.23699999999999999</v>
      </c>
      <c r="AR19" s="12">
        <v>2.1520000000000001</v>
      </c>
    </row>
    <row r="20" spans="1:44" x14ac:dyDescent="0.2">
      <c r="A20" s="7" t="s">
        <v>48</v>
      </c>
      <c r="B20" s="7">
        <v>2022</v>
      </c>
      <c r="C20" s="7" t="s">
        <v>49</v>
      </c>
      <c r="D20" s="8" t="s">
        <v>54</v>
      </c>
      <c r="E20" s="8" t="s">
        <v>52</v>
      </c>
      <c r="F20" s="9">
        <v>198</v>
      </c>
      <c r="G20" s="23">
        <v>-2.2559999999999998</v>
      </c>
      <c r="H20" s="23">
        <v>473.1</v>
      </c>
      <c r="I20" s="23">
        <v>459.3</v>
      </c>
      <c r="J20" s="23" t="s">
        <v>53</v>
      </c>
      <c r="K20" s="23">
        <v>189.24476077500989</v>
      </c>
      <c r="L20" s="23">
        <v>21.214587107085777</v>
      </c>
      <c r="M20" s="23">
        <v>5.8288543297746154</v>
      </c>
      <c r="N20" s="10">
        <v>83.222468588322258</v>
      </c>
      <c r="O20" s="23">
        <v>2.0555166549964987</v>
      </c>
      <c r="P20" s="10">
        <v>0</v>
      </c>
      <c r="Q20" s="11">
        <v>106</v>
      </c>
      <c r="R20" s="11">
        <v>85.783225843946099</v>
      </c>
      <c r="S20" s="10">
        <v>19</v>
      </c>
      <c r="T20" s="10">
        <v>70</v>
      </c>
      <c r="U20" s="11">
        <f t="shared" si="5"/>
        <v>51</v>
      </c>
      <c r="V20" s="11">
        <v>49.8700531695305</v>
      </c>
      <c r="W20" s="11">
        <v>3.07413094996314</v>
      </c>
      <c r="X20" s="11">
        <v>2.54337271164606</v>
      </c>
      <c r="Y20" s="10">
        <v>20.6</v>
      </c>
      <c r="Z20" s="10">
        <v>0.3</v>
      </c>
      <c r="AA20" s="10">
        <f t="shared" si="4"/>
        <v>1.4563106796116503</v>
      </c>
      <c r="AB20" s="11">
        <v>0.15911911111111099</v>
      </c>
      <c r="AC20" s="12">
        <v>12.11</v>
      </c>
      <c r="AD20" s="12">
        <v>2.8980000000000001</v>
      </c>
      <c r="AE20" s="12">
        <v>1.823</v>
      </c>
      <c r="AF20" s="10">
        <v>0.10299999999999999</v>
      </c>
      <c r="AG20" s="10">
        <v>0.58399999999999996</v>
      </c>
      <c r="AH20" s="10">
        <v>0.125</v>
      </c>
      <c r="AI20" s="12">
        <v>6.7149999999999999</v>
      </c>
      <c r="AJ20" s="12">
        <v>1.9950000000000001</v>
      </c>
      <c r="AK20" s="12">
        <v>26.707000000000001</v>
      </c>
      <c r="AL20" s="12">
        <v>2.1880000000000002</v>
      </c>
      <c r="AM20" s="12">
        <v>1.7569999999999999</v>
      </c>
      <c r="AN20" s="10">
        <v>2.5999999999999999E-2</v>
      </c>
      <c r="AO20" s="10">
        <v>0.25800000000000001</v>
      </c>
      <c r="AP20" s="10">
        <v>0.04</v>
      </c>
      <c r="AQ20" s="10">
        <v>0.25800000000000001</v>
      </c>
      <c r="AR20" s="12">
        <v>1.3720000000000001</v>
      </c>
    </row>
    <row r="21" spans="1:44" x14ac:dyDescent="0.2">
      <c r="A21" s="7" t="s">
        <v>48</v>
      </c>
      <c r="B21" s="7">
        <v>2022</v>
      </c>
      <c r="C21" s="7" t="s">
        <v>49</v>
      </c>
      <c r="D21" s="8" t="s">
        <v>54</v>
      </c>
      <c r="E21" s="8" t="s">
        <v>52</v>
      </c>
      <c r="F21" s="9">
        <v>197</v>
      </c>
      <c r="G21" s="23">
        <v>-1.4119999999999999</v>
      </c>
      <c r="H21" s="23">
        <v>473.4</v>
      </c>
      <c r="I21" s="23">
        <v>492.9</v>
      </c>
      <c r="J21" s="23" t="s">
        <v>53</v>
      </c>
      <c r="K21" s="23">
        <v>195.25790349417639</v>
      </c>
      <c r="L21" s="23">
        <v>6.718208663457979</v>
      </c>
      <c r="M21" s="23">
        <v>4.6104678868552407</v>
      </c>
      <c r="N21" s="10">
        <v>94.108617791097132</v>
      </c>
      <c r="O21" s="23">
        <v>2.6751875095668143</v>
      </c>
      <c r="P21" s="10">
        <v>0</v>
      </c>
      <c r="Q21" s="11">
        <v>125.4</v>
      </c>
      <c r="R21" s="11">
        <v>49.440801512258297</v>
      </c>
      <c r="S21" s="10">
        <v>123</v>
      </c>
      <c r="T21" s="10">
        <v>133</v>
      </c>
      <c r="U21" s="11">
        <f t="shared" si="5"/>
        <v>10</v>
      </c>
      <c r="V21" s="11">
        <v>40.916139242419597</v>
      </c>
      <c r="W21" s="11">
        <v>2.6765999291157101</v>
      </c>
      <c r="X21" s="11">
        <v>0.40916139242419503</v>
      </c>
      <c r="Y21" s="10">
        <v>22.5</v>
      </c>
      <c r="Z21" s="10">
        <v>0.6</v>
      </c>
      <c r="AA21" s="10">
        <f t="shared" si="4"/>
        <v>2.6666666666666665</v>
      </c>
      <c r="AB21" s="11">
        <v>0.152354420833333</v>
      </c>
      <c r="AC21" s="12">
        <v>14.48</v>
      </c>
      <c r="AD21" s="12">
        <v>2.653</v>
      </c>
      <c r="AE21" s="12">
        <v>1.974</v>
      </c>
      <c r="AF21" s="10">
        <v>3.9E-2</v>
      </c>
      <c r="AG21" s="15">
        <v>0.71</v>
      </c>
      <c r="AH21" s="10">
        <v>1.0999999999999999E-2</v>
      </c>
      <c r="AI21" s="12">
        <v>7.3360000000000003</v>
      </c>
      <c r="AJ21" s="12">
        <v>1.359</v>
      </c>
      <c r="AK21" s="12">
        <v>39.765999999999998</v>
      </c>
      <c r="AL21" s="12">
        <v>1.1579999999999999</v>
      </c>
      <c r="AM21" s="12">
        <v>1.8640000000000001</v>
      </c>
      <c r="AN21" s="10">
        <v>6.3E-2</v>
      </c>
      <c r="AO21" s="10">
        <v>0.214</v>
      </c>
      <c r="AP21" s="10">
        <v>3.2000000000000001E-2</v>
      </c>
      <c r="AQ21" s="10">
        <v>0.214</v>
      </c>
      <c r="AR21" s="12">
        <v>1.3089999999999999</v>
      </c>
    </row>
    <row r="22" spans="1:44" x14ac:dyDescent="0.2">
      <c r="A22" s="7" t="s">
        <v>48</v>
      </c>
      <c r="B22" s="7">
        <v>2022</v>
      </c>
      <c r="C22" s="7" t="s">
        <v>49</v>
      </c>
      <c r="D22" s="8" t="s">
        <v>54</v>
      </c>
      <c r="E22" s="8" t="s">
        <v>52</v>
      </c>
      <c r="F22" s="9">
        <v>196</v>
      </c>
      <c r="G22" s="23">
        <v>-1.5029999999999999</v>
      </c>
      <c r="H22" s="23">
        <v>455.4</v>
      </c>
      <c r="I22" s="23">
        <v>481.5</v>
      </c>
      <c r="J22" s="23" t="s">
        <v>53</v>
      </c>
      <c r="K22" s="23">
        <v>178.3066984019041</v>
      </c>
      <c r="L22" s="23">
        <v>5.460946820809248</v>
      </c>
      <c r="M22" s="23">
        <v>4.172687861271676</v>
      </c>
      <c r="N22" s="10">
        <v>89.096326927754802</v>
      </c>
      <c r="O22" s="23">
        <v>2.5538330251742281</v>
      </c>
      <c r="P22" s="10">
        <v>0</v>
      </c>
      <c r="Q22" s="11">
        <v>111.2</v>
      </c>
      <c r="R22" s="11">
        <v>94.934329488193001</v>
      </c>
      <c r="S22" s="10">
        <v>100</v>
      </c>
      <c r="T22" s="10">
        <v>143</v>
      </c>
      <c r="U22" s="11">
        <f t="shared" si="5"/>
        <v>43</v>
      </c>
      <c r="V22" s="11">
        <v>65.522182644839603</v>
      </c>
      <c r="W22" s="11">
        <v>4.5051286612714598</v>
      </c>
      <c r="X22" s="11">
        <v>2.8174538537281002</v>
      </c>
      <c r="Y22" s="10">
        <v>21.1</v>
      </c>
      <c r="Z22" s="10">
        <v>0.5</v>
      </c>
      <c r="AA22" s="10">
        <f t="shared" si="4"/>
        <v>2.3696682464454977</v>
      </c>
      <c r="AB22" s="11">
        <v>0.14570806976744199</v>
      </c>
      <c r="AC22" s="12">
        <v>17.768000000000001</v>
      </c>
      <c r="AD22" s="12">
        <v>3.3109999999999999</v>
      </c>
      <c r="AE22" s="12">
        <v>1.857</v>
      </c>
      <c r="AF22" s="10">
        <v>4.2000000000000003E-2</v>
      </c>
      <c r="AG22" s="10">
        <v>0.41099999999999998</v>
      </c>
      <c r="AH22" s="10">
        <v>6.0999999999999999E-2</v>
      </c>
      <c r="AI22" s="12">
        <v>9.5950000000000006</v>
      </c>
      <c r="AJ22" s="12">
        <v>1.9850000000000001</v>
      </c>
      <c r="AK22" s="12">
        <v>31.672999999999998</v>
      </c>
      <c r="AL22" s="12">
        <v>2.6869999999999998</v>
      </c>
      <c r="AM22" s="12">
        <v>1.794</v>
      </c>
      <c r="AN22" s="10">
        <v>0.04</v>
      </c>
      <c r="AO22" s="10">
        <v>0.24199999999999999</v>
      </c>
      <c r="AP22" s="10">
        <v>0.02</v>
      </c>
      <c r="AQ22" s="10">
        <v>0.24199999999999999</v>
      </c>
      <c r="AR22" s="12">
        <v>1.6279999999999999</v>
      </c>
    </row>
    <row r="23" spans="1:44" x14ac:dyDescent="0.2">
      <c r="A23" s="7" t="s">
        <v>48</v>
      </c>
      <c r="B23" s="7">
        <v>2022</v>
      </c>
      <c r="C23" s="7" t="s">
        <v>49</v>
      </c>
      <c r="D23" s="8" t="s">
        <v>55</v>
      </c>
      <c r="E23" s="8" t="s">
        <v>52</v>
      </c>
      <c r="F23" s="9">
        <v>267</v>
      </c>
      <c r="G23" s="23">
        <v>-2.9590000000000001</v>
      </c>
      <c r="H23" s="23">
        <v>509.1</v>
      </c>
      <c r="I23" s="23">
        <v>315.2</v>
      </c>
      <c r="J23" s="23">
        <v>217.29468599033817</v>
      </c>
      <c r="K23" s="23">
        <v>180.91528724440118</v>
      </c>
      <c r="L23" s="23">
        <v>14.373016983160158</v>
      </c>
      <c r="M23" s="23">
        <v>11.949245374878286</v>
      </c>
      <c r="N23" s="10">
        <v>88.684730782649154</v>
      </c>
      <c r="O23" s="23">
        <v>1.6534739025233323</v>
      </c>
      <c r="P23" s="10">
        <v>0</v>
      </c>
      <c r="Q23" s="11">
        <v>86.73</v>
      </c>
      <c r="R23" s="11">
        <v>101.903678516751</v>
      </c>
      <c r="S23" s="10">
        <v>38</v>
      </c>
      <c r="T23" s="10">
        <v>151</v>
      </c>
      <c r="U23" s="11">
        <f t="shared" si="5"/>
        <v>113</v>
      </c>
      <c r="V23" s="11">
        <v>63.409414680193699</v>
      </c>
      <c r="W23" s="11">
        <v>5.0509048710963302</v>
      </c>
      <c r="X23" s="11">
        <v>7.0390463821167799</v>
      </c>
      <c r="Y23" s="10">
        <v>18.7</v>
      </c>
      <c r="Z23" s="10">
        <v>0.5</v>
      </c>
      <c r="AA23" s="10">
        <f t="shared" si="4"/>
        <v>2.6737967914438503</v>
      </c>
      <c r="AB23" s="11">
        <v>0.125008473348348</v>
      </c>
      <c r="AC23" s="12">
        <v>39.984000000000002</v>
      </c>
      <c r="AD23" s="12">
        <v>5.4829999999999997</v>
      </c>
      <c r="AE23" s="12">
        <v>1.6020000000000001</v>
      </c>
      <c r="AF23" s="10">
        <v>0.114</v>
      </c>
      <c r="AG23" s="10">
        <v>0.246</v>
      </c>
      <c r="AH23" s="10">
        <v>3.6999999999999998E-2</v>
      </c>
      <c r="AI23" s="12">
        <v>25.076000000000001</v>
      </c>
      <c r="AJ23" s="12">
        <v>4.1749999999999998</v>
      </c>
      <c r="AK23" s="12">
        <v>40.720999999999997</v>
      </c>
      <c r="AL23" s="12">
        <v>3.415</v>
      </c>
      <c r="AM23" s="12">
        <v>1.722</v>
      </c>
      <c r="AN23" s="10">
        <v>3.4000000000000002E-2</v>
      </c>
      <c r="AO23" s="10">
        <v>0.23499999999999999</v>
      </c>
      <c r="AP23" s="10">
        <v>2.5000000000000001E-2</v>
      </c>
      <c r="AQ23" s="10">
        <v>0.23499999999999999</v>
      </c>
      <c r="AR23" s="12">
        <v>1.944</v>
      </c>
    </row>
    <row r="24" spans="1:44" x14ac:dyDescent="0.2">
      <c r="A24" s="7" t="s">
        <v>48</v>
      </c>
      <c r="B24" s="7">
        <v>2022</v>
      </c>
      <c r="C24" s="7" t="s">
        <v>49</v>
      </c>
      <c r="D24" s="8" t="s">
        <v>55</v>
      </c>
      <c r="E24" s="8" t="s">
        <v>51</v>
      </c>
      <c r="F24" s="9">
        <v>268</v>
      </c>
      <c r="G24" s="23">
        <v>-2.258</v>
      </c>
      <c r="H24" s="23">
        <v>434.7</v>
      </c>
      <c r="I24" s="23">
        <v>333.5</v>
      </c>
      <c r="J24" s="23">
        <v>262.17348447511091</v>
      </c>
      <c r="K24" s="23">
        <v>233.71488033298647</v>
      </c>
      <c r="L24" s="23">
        <v>2.5812064864864865</v>
      </c>
      <c r="M24" s="23">
        <v>6.5909035379812693</v>
      </c>
      <c r="N24" s="10">
        <v>67.923642339852989</v>
      </c>
      <c r="O24" s="23">
        <v>1.8254741887007029</v>
      </c>
      <c r="P24" s="10">
        <v>2.1871573047398565</v>
      </c>
      <c r="Q24" s="13">
        <v>120.1</v>
      </c>
      <c r="R24" s="13">
        <v>110.455267830488</v>
      </c>
      <c r="S24" s="14">
        <v>36</v>
      </c>
      <c r="T24" s="14">
        <v>89</v>
      </c>
      <c r="U24" s="13">
        <v>53</v>
      </c>
      <c r="V24" s="13">
        <v>63.1121631539745</v>
      </c>
      <c r="W24" s="13">
        <v>4.7374531500061803</v>
      </c>
      <c r="X24" s="13">
        <v>3.3532883299602898</v>
      </c>
      <c r="Y24" s="14">
        <v>22</v>
      </c>
      <c r="Z24" s="14">
        <v>0.7</v>
      </c>
      <c r="AA24" s="14">
        <v>3.1818181818181817</v>
      </c>
      <c r="AB24" s="13">
        <v>0.13483538364779901</v>
      </c>
      <c r="AC24" s="12">
        <v>24.491</v>
      </c>
      <c r="AD24" s="12">
        <v>1.4550000000000001</v>
      </c>
      <c r="AE24" s="12">
        <v>1.718</v>
      </c>
      <c r="AF24" s="10">
        <v>1.7000000000000001E-2</v>
      </c>
      <c r="AG24" s="10">
        <v>0.36399999999999999</v>
      </c>
      <c r="AH24" s="10">
        <v>4.3999999999999997E-2</v>
      </c>
      <c r="AI24" s="12">
        <v>14.255000000000001</v>
      </c>
      <c r="AJ24" s="10">
        <v>0.76900000000000002</v>
      </c>
      <c r="AK24" s="12">
        <v>15.706</v>
      </c>
      <c r="AL24" s="12">
        <v>1.2589999999999999</v>
      </c>
      <c r="AM24" s="12">
        <v>1.726</v>
      </c>
      <c r="AN24" s="10">
        <v>9.5000000000000001E-2</v>
      </c>
      <c r="AO24" s="10">
        <v>0.45200000000000001</v>
      </c>
      <c r="AP24" s="10">
        <v>4.5999999999999999E-2</v>
      </c>
      <c r="AQ24" s="12">
        <v>9.0920000000000005</v>
      </c>
      <c r="AR24" s="10">
        <v>0.26900000000000002</v>
      </c>
    </row>
    <row r="25" spans="1:44" x14ac:dyDescent="0.2">
      <c r="A25" s="7" t="s">
        <v>48</v>
      </c>
      <c r="B25" s="7">
        <v>2022</v>
      </c>
      <c r="C25" s="7" t="s">
        <v>49</v>
      </c>
      <c r="D25" s="8" t="s">
        <v>55</v>
      </c>
      <c r="E25" s="8" t="s">
        <v>51</v>
      </c>
      <c r="F25" s="9">
        <v>358</v>
      </c>
      <c r="G25" s="23">
        <v>-2.1120000000000001</v>
      </c>
      <c r="H25" s="23">
        <v>475</v>
      </c>
      <c r="I25" s="23">
        <v>394.8</v>
      </c>
      <c r="J25" s="23" t="s">
        <v>53</v>
      </c>
      <c r="K25" s="23">
        <v>231.42928411075079</v>
      </c>
      <c r="L25" s="23" t="s">
        <v>53</v>
      </c>
      <c r="M25" s="23">
        <v>3.6487109753055624</v>
      </c>
      <c r="N25" s="10">
        <v>70.221387852285986</v>
      </c>
      <c r="O25" s="23">
        <v>2.341123512363569</v>
      </c>
      <c r="P25" s="10">
        <v>0</v>
      </c>
      <c r="Q25" s="11">
        <v>129.6</v>
      </c>
      <c r="R25" s="11">
        <v>111.9204929138955</v>
      </c>
      <c r="S25" s="10">
        <v>41</v>
      </c>
      <c r="T25" s="10">
        <v>102</v>
      </c>
      <c r="U25" s="11">
        <f t="shared" ref="U25:U32" si="6">T25-S25</f>
        <v>61</v>
      </c>
      <c r="V25" s="11">
        <v>68.705092618785642</v>
      </c>
      <c r="W25" s="11">
        <v>4.2129709065491845</v>
      </c>
      <c r="X25" s="11">
        <v>3.0356101258777102</v>
      </c>
      <c r="Y25" s="10">
        <v>22.9</v>
      </c>
      <c r="Z25" s="10">
        <v>0.55000000000000004</v>
      </c>
      <c r="AA25" s="10">
        <f t="shared" ref="AA25:AA32" si="7">(Z25/Y25)*100</f>
        <v>2.4017467248908302</v>
      </c>
      <c r="AB25" s="11">
        <v>0.16324474832339803</v>
      </c>
      <c r="AC25" s="12">
        <v>42.744999999999997</v>
      </c>
      <c r="AD25" s="12">
        <v>2.5449999999999999</v>
      </c>
      <c r="AE25" s="12">
        <v>1.7589999999999999</v>
      </c>
      <c r="AF25" s="10">
        <v>1.9E-2</v>
      </c>
      <c r="AG25" s="10">
        <v>0.20799999999999999</v>
      </c>
      <c r="AH25" s="10">
        <v>2.8000000000000001E-2</v>
      </c>
      <c r="AI25" s="12">
        <v>24.312999999999999</v>
      </c>
      <c r="AJ25" s="12">
        <v>1.6020000000000001</v>
      </c>
      <c r="AK25" s="12">
        <v>14.1</v>
      </c>
      <c r="AL25" s="12">
        <v>2.0830000000000002</v>
      </c>
      <c r="AM25" s="12">
        <v>1.9770000000000001</v>
      </c>
      <c r="AN25" s="10">
        <v>6.7000000000000004E-2</v>
      </c>
      <c r="AO25" s="10">
        <v>0.51400000000000001</v>
      </c>
      <c r="AP25" s="10">
        <v>0.109</v>
      </c>
      <c r="AQ25" s="12">
        <v>7.1319999999999997</v>
      </c>
      <c r="AR25" s="12">
        <v>1.0289999999999999</v>
      </c>
    </row>
    <row r="26" spans="1:44" x14ac:dyDescent="0.2">
      <c r="A26" s="7" t="s">
        <v>48</v>
      </c>
      <c r="B26" s="7">
        <v>2022</v>
      </c>
      <c r="C26" s="7" t="s">
        <v>49</v>
      </c>
      <c r="D26" s="8" t="s">
        <v>55</v>
      </c>
      <c r="E26" s="8" t="s">
        <v>51</v>
      </c>
      <c r="F26" s="9" t="s">
        <v>56</v>
      </c>
      <c r="G26" s="23">
        <v>-2.3559999999999999</v>
      </c>
      <c r="H26" s="23">
        <v>381.3</v>
      </c>
      <c r="I26" s="23">
        <v>353.2</v>
      </c>
      <c r="J26" s="23">
        <v>248.58889934148633</v>
      </c>
      <c r="K26" s="23">
        <v>205.02381983542659</v>
      </c>
      <c r="L26" s="23">
        <v>3.0415352887259393</v>
      </c>
      <c r="M26" s="23">
        <v>7.9625069727154614</v>
      </c>
      <c r="N26" s="10">
        <v>68.891246881864546</v>
      </c>
      <c r="O26" s="23">
        <v>1.9031444928650774</v>
      </c>
      <c r="P26" s="10">
        <v>3.3324788515765187</v>
      </c>
      <c r="Q26" s="11">
        <v>107.2</v>
      </c>
      <c r="R26" s="11">
        <v>102.875408106848</v>
      </c>
      <c r="S26" s="10">
        <v>102</v>
      </c>
      <c r="T26" s="10">
        <v>204</v>
      </c>
      <c r="U26" s="11">
        <f t="shared" si="6"/>
        <v>102</v>
      </c>
      <c r="V26" s="11">
        <v>81.340281228016607</v>
      </c>
      <c r="W26" s="11">
        <v>7.4896964012772944</v>
      </c>
      <c r="X26" s="11">
        <v>5.2258008079670004</v>
      </c>
      <c r="Y26" s="10">
        <v>20.7</v>
      </c>
      <c r="Z26" s="10">
        <v>0.6</v>
      </c>
      <c r="AA26" s="10">
        <f t="shared" si="7"/>
        <v>2.8985507246376812</v>
      </c>
      <c r="AB26" s="11">
        <v>0.11021495557950201</v>
      </c>
      <c r="AC26" s="12">
        <v>21.332000000000001</v>
      </c>
      <c r="AD26" s="12">
        <v>3.1539999999999999</v>
      </c>
      <c r="AE26" s="12">
        <v>1.774</v>
      </c>
      <c r="AF26" s="10">
        <v>8.4000000000000005E-2</v>
      </c>
      <c r="AG26" s="10">
        <v>0.317</v>
      </c>
      <c r="AH26" s="10">
        <v>4.9000000000000002E-2</v>
      </c>
      <c r="AI26" s="12">
        <v>11.978</v>
      </c>
      <c r="AJ26" s="12">
        <v>1.292</v>
      </c>
      <c r="AK26" s="12">
        <v>13.186</v>
      </c>
      <c r="AL26" s="12">
        <v>2.2559999999999998</v>
      </c>
      <c r="AM26" s="12">
        <v>1.7390000000000001</v>
      </c>
      <c r="AN26" s="10">
        <v>4.5999999999999999E-2</v>
      </c>
      <c r="AO26" s="10">
        <v>0.55600000000000005</v>
      </c>
      <c r="AP26" s="10">
        <v>8.2000000000000003E-2</v>
      </c>
      <c r="AQ26" s="12">
        <v>7.6079999999999997</v>
      </c>
      <c r="AR26" s="12">
        <v>1.488</v>
      </c>
    </row>
    <row r="27" spans="1:44" x14ac:dyDescent="0.2">
      <c r="A27" s="7" t="s">
        <v>48</v>
      </c>
      <c r="B27" s="7">
        <v>2022</v>
      </c>
      <c r="C27" s="7" t="s">
        <v>49</v>
      </c>
      <c r="D27" s="8" t="s">
        <v>55</v>
      </c>
      <c r="E27" s="8" t="s">
        <v>51</v>
      </c>
      <c r="F27" s="9">
        <v>432</v>
      </c>
      <c r="G27" s="23">
        <v>-2.0059999999999998</v>
      </c>
      <c r="H27" s="23">
        <v>402.4</v>
      </c>
      <c r="I27" s="23">
        <v>386.7</v>
      </c>
      <c r="J27" s="23">
        <v>219.06279885240676</v>
      </c>
      <c r="K27" s="23">
        <v>175.61679790026247</v>
      </c>
      <c r="L27" s="23">
        <v>4.9383989347919952</v>
      </c>
      <c r="M27" s="23">
        <v>3.9257631496062984</v>
      </c>
      <c r="N27" s="10">
        <v>76.601628514364734</v>
      </c>
      <c r="O27" s="23">
        <v>2.0462484281123379</v>
      </c>
      <c r="P27" s="10">
        <v>0</v>
      </c>
      <c r="Q27" s="11">
        <v>116.5</v>
      </c>
      <c r="R27" s="11">
        <v>33.409773076286697</v>
      </c>
      <c r="S27" s="10">
        <v>195</v>
      </c>
      <c r="T27" s="10">
        <v>227</v>
      </c>
      <c r="U27" s="11">
        <f t="shared" si="6"/>
        <v>32</v>
      </c>
      <c r="V27" s="11">
        <v>23.011835542811248</v>
      </c>
      <c r="W27" s="11">
        <v>4.31279863565101</v>
      </c>
      <c r="X27" s="11">
        <v>0.62108045628177</v>
      </c>
      <c r="Y27" s="10">
        <v>21.7</v>
      </c>
      <c r="Z27" s="10">
        <v>0.6</v>
      </c>
      <c r="AA27" s="10">
        <f t="shared" si="7"/>
        <v>2.7649769585253456</v>
      </c>
      <c r="AB27" s="11">
        <v>8.1770621093750148E-2</v>
      </c>
      <c r="AC27" s="12">
        <v>35.363999999999997</v>
      </c>
      <c r="AD27" s="12">
        <v>3.3839999999999999</v>
      </c>
      <c r="AE27" s="12">
        <v>1.7589999999999999</v>
      </c>
      <c r="AF27" s="10">
        <v>7.5999999999999998E-2</v>
      </c>
      <c r="AG27" s="10">
        <v>0.28899999999999998</v>
      </c>
      <c r="AH27" s="10">
        <v>0.04</v>
      </c>
      <c r="AI27" s="12">
        <v>20.100000000000001</v>
      </c>
      <c r="AJ27" s="12">
        <v>1.681</v>
      </c>
      <c r="AK27" s="12">
        <v>36.432000000000002</v>
      </c>
      <c r="AL27" s="12">
        <v>2.7690000000000001</v>
      </c>
      <c r="AM27" s="12">
        <v>1.7070000000000001</v>
      </c>
      <c r="AN27" s="10">
        <v>3.3000000000000002E-2</v>
      </c>
      <c r="AO27" s="10">
        <v>0.21199999999999999</v>
      </c>
      <c r="AP27" s="10">
        <v>1.2999999999999999E-2</v>
      </c>
      <c r="AQ27" s="12">
        <v>21.331</v>
      </c>
      <c r="AR27" s="12">
        <v>1.355</v>
      </c>
    </row>
    <row r="28" spans="1:44" x14ac:dyDescent="0.2">
      <c r="A28" s="7" t="s">
        <v>48</v>
      </c>
      <c r="B28" s="7">
        <v>2022</v>
      </c>
      <c r="C28" s="7" t="s">
        <v>49</v>
      </c>
      <c r="D28" s="8" t="s">
        <v>55</v>
      </c>
      <c r="E28" s="8" t="s">
        <v>52</v>
      </c>
      <c r="F28" s="9">
        <v>419</v>
      </c>
      <c r="G28" s="23">
        <v>-2.77</v>
      </c>
      <c r="H28" s="23">
        <v>536.4</v>
      </c>
      <c r="I28" s="23">
        <v>445</v>
      </c>
      <c r="J28" s="23">
        <v>221.81223727230264</v>
      </c>
      <c r="K28" s="23">
        <v>223.31536388140159</v>
      </c>
      <c r="L28" s="23">
        <v>14.913503329886245</v>
      </c>
      <c r="M28" s="23">
        <v>16.007552830188676</v>
      </c>
      <c r="N28" s="10">
        <v>87.048331038100883</v>
      </c>
      <c r="O28" s="23">
        <v>1.6508419750737326</v>
      </c>
      <c r="P28" s="10">
        <v>0</v>
      </c>
      <c r="Q28" s="11">
        <v>115.5</v>
      </c>
      <c r="R28" s="11">
        <v>139.81012154121399</v>
      </c>
      <c r="S28" s="10">
        <v>82</v>
      </c>
      <c r="T28" s="10">
        <v>156</v>
      </c>
      <c r="U28" s="11">
        <f t="shared" si="6"/>
        <v>74</v>
      </c>
      <c r="V28" s="11">
        <v>95.404849153357205</v>
      </c>
      <c r="W28" s="11">
        <v>7.7336152111425802</v>
      </c>
      <c r="X28" s="11">
        <v>7.7470714650409551</v>
      </c>
      <c r="Y28" s="10">
        <v>21.6</v>
      </c>
      <c r="Z28" s="10">
        <v>0.7</v>
      </c>
      <c r="AA28" s="10">
        <f t="shared" si="7"/>
        <v>3.2407407407407405</v>
      </c>
      <c r="AB28" s="11">
        <v>0.12440332365770949</v>
      </c>
      <c r="AC28" s="12">
        <v>24.231999999999999</v>
      </c>
      <c r="AD28" s="12">
        <v>3.5950000000000002</v>
      </c>
      <c r="AE28" s="12">
        <v>1.792</v>
      </c>
      <c r="AF28" s="10">
        <v>0.10199999999999999</v>
      </c>
      <c r="AG28" s="10">
        <v>0.34399999999999997</v>
      </c>
      <c r="AH28" s="10">
        <v>0.06</v>
      </c>
      <c r="AI28" s="12">
        <v>13.614000000000001</v>
      </c>
      <c r="AJ28" s="12">
        <v>2.601</v>
      </c>
      <c r="AK28" s="12">
        <v>19.77</v>
      </c>
      <c r="AL28" s="12">
        <v>4.0670000000000002</v>
      </c>
      <c r="AM28" s="12">
        <v>1.8779999999999999</v>
      </c>
      <c r="AN28" s="10">
        <v>9.5000000000000001E-2</v>
      </c>
      <c r="AO28" s="10">
        <v>0.36699999999999999</v>
      </c>
      <c r="AP28" s="10">
        <v>5.8999999999999997E-2</v>
      </c>
      <c r="AQ28" s="10">
        <v>0.36699999999999999</v>
      </c>
      <c r="AR28" s="12">
        <v>2.234</v>
      </c>
    </row>
    <row r="29" spans="1:44" x14ac:dyDescent="0.2">
      <c r="A29" s="7" t="s">
        <v>48</v>
      </c>
      <c r="B29" s="7">
        <v>2022</v>
      </c>
      <c r="C29" s="7" t="s">
        <v>49</v>
      </c>
      <c r="D29" s="8" t="s">
        <v>55</v>
      </c>
      <c r="E29" s="8" t="s">
        <v>52</v>
      </c>
      <c r="F29" s="9">
        <v>430</v>
      </c>
      <c r="G29" s="23">
        <v>-2.1399999999999997</v>
      </c>
      <c r="H29" s="23">
        <v>577</v>
      </c>
      <c r="I29" s="23">
        <v>400.2</v>
      </c>
      <c r="J29" s="23" t="s">
        <v>53</v>
      </c>
      <c r="K29" s="23">
        <v>172.67147050974114</v>
      </c>
      <c r="L29" s="23" t="s">
        <v>53</v>
      </c>
      <c r="M29" s="23">
        <v>4.9710558847077664</v>
      </c>
      <c r="N29" s="10">
        <v>84.769111369809863</v>
      </c>
      <c r="O29" s="23">
        <v>1.6387334079641771</v>
      </c>
      <c r="P29" s="10">
        <v>0</v>
      </c>
      <c r="Q29" s="11">
        <v>88.6</v>
      </c>
      <c r="R29" s="11">
        <v>97.851394135450647</v>
      </c>
      <c r="S29" s="10">
        <v>96</v>
      </c>
      <c r="T29" s="10">
        <v>110</v>
      </c>
      <c r="U29" s="11">
        <f t="shared" si="6"/>
        <v>14</v>
      </c>
      <c r="V29" s="11">
        <v>74.147860768332492</v>
      </c>
      <c r="W29" s="11">
        <v>4.3629900449982397</v>
      </c>
      <c r="X29" s="11">
        <v>2.039331678101195</v>
      </c>
      <c r="Y29" s="10">
        <v>18.899999999999999</v>
      </c>
      <c r="Z29" s="10">
        <v>0.45</v>
      </c>
      <c r="AA29" s="10">
        <f t="shared" si="7"/>
        <v>2.3809523809523814</v>
      </c>
      <c r="AB29" s="11">
        <v>0.172984924107143</v>
      </c>
      <c r="AC29" s="12">
        <v>16.655999999999999</v>
      </c>
      <c r="AD29" s="12">
        <v>1.986</v>
      </c>
      <c r="AE29" s="12">
        <v>1.752</v>
      </c>
      <c r="AF29" s="10">
        <v>2.8000000000000001E-2</v>
      </c>
      <c r="AG29" s="10">
        <v>0.39700000000000002</v>
      </c>
      <c r="AH29" s="10">
        <v>3.9E-2</v>
      </c>
      <c r="AI29" s="12">
        <v>9.5009999999999994</v>
      </c>
      <c r="AJ29" s="12">
        <v>1.0740000000000001</v>
      </c>
      <c r="AK29" s="12">
        <v>38.176000000000002</v>
      </c>
      <c r="AL29" s="12">
        <v>0.58299999999999996</v>
      </c>
      <c r="AM29" s="12">
        <v>1.7589999999999999</v>
      </c>
      <c r="AN29" s="10">
        <v>4.2000000000000003E-2</v>
      </c>
      <c r="AO29" s="10">
        <v>0.22800000000000001</v>
      </c>
      <c r="AP29" s="10">
        <v>3.3000000000000002E-2</v>
      </c>
      <c r="AQ29" s="10">
        <v>0.22800000000000001</v>
      </c>
      <c r="AR29" s="12">
        <v>0.436</v>
      </c>
    </row>
    <row r="30" spans="1:44" x14ac:dyDescent="0.2">
      <c r="A30" s="7" t="s">
        <v>48</v>
      </c>
      <c r="B30" s="7">
        <v>2022</v>
      </c>
      <c r="C30" s="7" t="s">
        <v>49</v>
      </c>
      <c r="D30" s="8" t="s">
        <v>55</v>
      </c>
      <c r="E30" s="8" t="s">
        <v>52</v>
      </c>
      <c r="F30" s="9">
        <v>417</v>
      </c>
      <c r="G30" s="23">
        <v>-2.67</v>
      </c>
      <c r="H30" s="23">
        <v>460.6</v>
      </c>
      <c r="I30" s="23">
        <v>398.4</v>
      </c>
      <c r="J30" s="23">
        <v>183.21342925659471</v>
      </c>
      <c r="K30" s="23">
        <v>175.49279199764638</v>
      </c>
      <c r="L30" s="23">
        <v>4.0217634271391143</v>
      </c>
      <c r="M30" s="23">
        <v>7.1575611650485431</v>
      </c>
      <c r="N30" s="10">
        <v>94.605927761364711</v>
      </c>
      <c r="O30" s="23">
        <v>1.1896518375241778</v>
      </c>
      <c r="P30" s="10">
        <v>0</v>
      </c>
      <c r="Q30" s="11">
        <v>76.45</v>
      </c>
      <c r="R30" s="11">
        <v>139.81374980458</v>
      </c>
      <c r="S30" s="10">
        <v>40</v>
      </c>
      <c r="T30" s="10">
        <v>100</v>
      </c>
      <c r="U30" s="11">
        <f t="shared" si="6"/>
        <v>60</v>
      </c>
      <c r="V30" s="11">
        <v>116.23760183273799</v>
      </c>
      <c r="W30" s="11">
        <v>6.19424241705158</v>
      </c>
      <c r="X30" s="11">
        <v>6.9742561099642497</v>
      </c>
      <c r="Y30" s="10">
        <v>17.600000000000001</v>
      </c>
      <c r="Z30" s="10">
        <v>0.5</v>
      </c>
      <c r="AA30" s="10">
        <f t="shared" si="7"/>
        <v>2.8409090909090908</v>
      </c>
      <c r="AB30" s="11">
        <v>0.189258954861111</v>
      </c>
      <c r="AC30" s="12">
        <v>26.867000000000001</v>
      </c>
      <c r="AD30" s="12">
        <v>7.33</v>
      </c>
      <c r="AE30" s="12">
        <v>1.637</v>
      </c>
      <c r="AF30" s="10">
        <v>0.17699999999999999</v>
      </c>
      <c r="AG30" s="10">
        <v>0.27100000000000002</v>
      </c>
      <c r="AH30" s="10">
        <v>4.2000000000000003E-2</v>
      </c>
      <c r="AI30" s="12">
        <v>16.149000000000001</v>
      </c>
      <c r="AJ30" s="12">
        <v>3.2639999999999998</v>
      </c>
      <c r="AK30" s="12">
        <v>35.863999999999997</v>
      </c>
      <c r="AL30" s="12">
        <v>4.9240000000000004</v>
      </c>
      <c r="AM30" s="12">
        <v>1.754</v>
      </c>
      <c r="AN30" s="10">
        <v>2.3E-2</v>
      </c>
      <c r="AO30" s="10">
        <v>0.28000000000000003</v>
      </c>
      <c r="AP30" s="10">
        <v>4.1000000000000002E-2</v>
      </c>
      <c r="AQ30" s="15">
        <v>0.28000000000000003</v>
      </c>
      <c r="AR30" s="12">
        <v>3.1120000000000001</v>
      </c>
    </row>
    <row r="31" spans="1:44" x14ac:dyDescent="0.2">
      <c r="A31" s="7" t="s">
        <v>48</v>
      </c>
      <c r="B31" s="7">
        <v>2022</v>
      </c>
      <c r="C31" s="7" t="s">
        <v>49</v>
      </c>
      <c r="D31" s="8" t="s">
        <v>55</v>
      </c>
      <c r="E31" s="8" t="s">
        <v>51</v>
      </c>
      <c r="F31" s="9">
        <v>269</v>
      </c>
      <c r="G31" s="23">
        <v>-2.8120000000000003</v>
      </c>
      <c r="H31" s="23">
        <v>455.2</v>
      </c>
      <c r="I31" s="23">
        <v>460.5</v>
      </c>
      <c r="J31" s="23">
        <v>215.64384533522522</v>
      </c>
      <c r="K31" s="23">
        <v>190.71949947862356</v>
      </c>
      <c r="L31" s="23">
        <v>6.6755559789750318</v>
      </c>
      <c r="M31" s="23">
        <v>3.4601824817518247</v>
      </c>
      <c r="N31" s="10">
        <v>76.064942083127747</v>
      </c>
      <c r="O31" s="23">
        <v>2.2882039885373411</v>
      </c>
      <c r="P31" s="10">
        <v>9.170126908006317</v>
      </c>
      <c r="Q31" s="11">
        <v>108.1</v>
      </c>
      <c r="R31" s="11">
        <v>109.16107167540849</v>
      </c>
      <c r="S31" s="10">
        <v>141</v>
      </c>
      <c r="T31" s="10">
        <v>205</v>
      </c>
      <c r="U31" s="11">
        <f t="shared" si="6"/>
        <v>64</v>
      </c>
      <c r="V31" s="11">
        <v>75.632533843416255</v>
      </c>
      <c r="W31" s="11">
        <v>9.8259092843765554</v>
      </c>
      <c r="X31" s="11">
        <v>6.4762935489770204</v>
      </c>
      <c r="Y31" s="10">
        <v>20.8</v>
      </c>
      <c r="Z31" s="10">
        <v>0.6</v>
      </c>
      <c r="AA31" s="10">
        <f t="shared" si="7"/>
        <v>2.8846153846153846</v>
      </c>
      <c r="AB31" s="11">
        <v>7.7960248568881341E-2</v>
      </c>
      <c r="AC31" s="12">
        <v>35.923000000000002</v>
      </c>
      <c r="AD31" s="12">
        <v>3.7050000000000001</v>
      </c>
      <c r="AE31" s="12">
        <v>1.8009999999999999</v>
      </c>
      <c r="AF31" s="10">
        <v>0.14499999999999999</v>
      </c>
      <c r="AG31" s="10">
        <v>0.26</v>
      </c>
      <c r="AH31" s="10">
        <v>6.0000000000000001E-3</v>
      </c>
      <c r="AI31" s="12">
        <v>20.100999999999999</v>
      </c>
      <c r="AJ31" s="12">
        <v>2.9649999999999999</v>
      </c>
      <c r="AK31" s="12">
        <v>12.769</v>
      </c>
      <c r="AL31" s="12">
        <v>4.476</v>
      </c>
      <c r="AM31" s="12">
        <v>1.7649999999999999</v>
      </c>
      <c r="AN31" s="10">
        <v>6.6000000000000003E-2</v>
      </c>
      <c r="AO31" s="10">
        <v>0.71299999999999997</v>
      </c>
      <c r="AP31" s="10">
        <v>0.106</v>
      </c>
      <c r="AQ31" s="12">
        <v>7.3040000000000003</v>
      </c>
      <c r="AR31" s="12">
        <v>2.859</v>
      </c>
    </row>
    <row r="32" spans="1:44" x14ac:dyDescent="0.2">
      <c r="A32" s="7" t="s">
        <v>48</v>
      </c>
      <c r="B32" s="7">
        <v>2022</v>
      </c>
      <c r="C32" s="7" t="s">
        <v>49</v>
      </c>
      <c r="D32" s="8" t="s">
        <v>55</v>
      </c>
      <c r="E32" s="8" t="s">
        <v>52</v>
      </c>
      <c r="F32" s="9">
        <v>429</v>
      </c>
      <c r="G32" s="23">
        <v>-2.0129999999999999</v>
      </c>
      <c r="H32" s="23">
        <v>468.8</v>
      </c>
      <c r="I32" s="23">
        <v>364.1</v>
      </c>
      <c r="J32" s="23">
        <v>224.06015037593983</v>
      </c>
      <c r="K32" s="23">
        <v>159.06627761567321</v>
      </c>
      <c r="L32" s="23">
        <v>5.7385584158415845</v>
      </c>
      <c r="M32" s="23">
        <v>4.5585283868278434</v>
      </c>
      <c r="N32" s="10">
        <v>82.225337305063945</v>
      </c>
      <c r="O32" s="23">
        <v>1.5680331443523767</v>
      </c>
      <c r="P32" s="10">
        <v>0</v>
      </c>
      <c r="Q32" s="11">
        <v>90.94</v>
      </c>
      <c r="R32" s="11">
        <v>141.783033230955</v>
      </c>
      <c r="S32" s="10">
        <v>51</v>
      </c>
      <c r="T32" s="10">
        <v>106</v>
      </c>
      <c r="U32" s="11">
        <f t="shared" si="6"/>
        <v>55</v>
      </c>
      <c r="V32" s="11">
        <v>115.917630099501</v>
      </c>
      <c r="W32" s="11">
        <v>6.2394740784584499</v>
      </c>
      <c r="X32" s="11">
        <v>6.3754696554725303</v>
      </c>
      <c r="Y32" s="10">
        <v>19.100000000000001</v>
      </c>
      <c r="Z32" s="10">
        <v>0.8</v>
      </c>
      <c r="AA32" s="10">
        <f t="shared" si="7"/>
        <v>4.1884816753926701</v>
      </c>
      <c r="AB32" s="11">
        <v>0.18628251893939399</v>
      </c>
      <c r="AC32" s="12">
        <v>28.655000000000001</v>
      </c>
      <c r="AD32" s="12">
        <v>13.832000000000001</v>
      </c>
      <c r="AE32" s="12">
        <v>1.6970000000000001</v>
      </c>
      <c r="AF32" s="10">
        <v>0.114</v>
      </c>
      <c r="AG32" s="10">
        <v>0.23899999999999999</v>
      </c>
      <c r="AH32" s="10">
        <v>2.1999999999999999E-2</v>
      </c>
      <c r="AI32" s="12">
        <v>16.542000000000002</v>
      </c>
      <c r="AJ32" s="12">
        <v>7.1189999999999998</v>
      </c>
      <c r="AK32" s="12">
        <v>35.671999999999997</v>
      </c>
      <c r="AL32" s="12">
        <v>3.0950000000000002</v>
      </c>
      <c r="AM32" s="12">
        <v>1.8069999999999999</v>
      </c>
      <c r="AN32" s="10">
        <v>0.124</v>
      </c>
      <c r="AO32" s="10">
        <v>0.28399999999999997</v>
      </c>
      <c r="AP32" s="10">
        <v>2.1000000000000001E-2</v>
      </c>
      <c r="AQ32" s="10">
        <v>0.28399999999999997</v>
      </c>
      <c r="AR32" s="12">
        <v>0.90800000000000003</v>
      </c>
    </row>
  </sheetData>
  <mergeCells count="4">
    <mergeCell ref="A1:F1"/>
    <mergeCell ref="G1:P1"/>
    <mergeCell ref="Q1:AB1"/>
    <mergeCell ref="AC1:AR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2025-03-21T11:03:35Z</dcterms:created>
  <dcterms:modified xsi:type="dcterms:W3CDTF">2025-03-21T11:09:33Z</dcterms:modified>
</cp:coreProperties>
</file>