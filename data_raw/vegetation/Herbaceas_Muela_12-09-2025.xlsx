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vegetation/"/>
    </mc:Choice>
  </mc:AlternateContent>
  <xr:revisionPtr revIDLastSave="0" documentId="13_ncr:1_{29E237CA-B9B8-614C-938D-2D01BFA43FF3}" xr6:coauthVersionLast="36" xr6:coauthVersionMax="36" xr10:uidLastSave="{00000000-0000-0000-0000-000000000000}"/>
  <bookViews>
    <workbookView xWindow="0" yWindow="500" windowWidth="38400" windowHeight="20000" xr2:uid="{00000000-000D-0000-FFFF-FFFF00000000}"/>
  </bookViews>
  <sheets>
    <sheet name="Matriz 2020" sheetId="1" r:id="rId1"/>
  </sheets>
  <calcPr calcId="181029"/>
  <extLst>
    <ext uri="GoogleSheetsCustomDataVersion2">
      <go:sheetsCustomData xmlns:go="http://customooxmlschemas.google.com/" r:id="rId5" roundtripDataChecksum="s4LZWaa6knzFXj/I31am2ratOobamZr9KaRt57g/VpI="/>
    </ext>
  </extLst>
</workbook>
</file>

<file path=xl/calcChain.xml><?xml version="1.0" encoding="utf-8"?>
<calcChain xmlns="http://schemas.openxmlformats.org/spreadsheetml/2006/main">
  <c r="O91" i="1" l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000-000015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ID#AAAAdXRde4I
</t>
        </r>
        <r>
          <rPr>
            <sz val="11"/>
            <color rgb="FF000000"/>
            <rFont val="Arial"/>
          </rPr>
          <t xml:space="preserve">Juancho Calleja    (2020-12-23 14:40:08)
</t>
        </r>
        <r>
          <rPr>
            <sz val="11"/>
            <color rgb="FF000000"/>
            <rFont val="Arial"/>
          </rPr>
          <t>Aira</t>
        </r>
      </text>
    </comment>
    <comment ref="AG1" authorId="0" shapeId="0" xr:uid="{00000000-0006-0000-0000-000010000000}">
      <text>
        <r>
          <rPr>
            <sz val="11"/>
            <color theme="1"/>
            <rFont val="Arial"/>
            <scheme val="minor"/>
          </rPr>
          <t>======
ID#AAAAdXRde4g
Juancho Calleja    (2020-12-23 18:07:02)
carex cf. Capillaris</t>
        </r>
      </text>
    </comment>
    <comment ref="AI1" authorId="0" shapeId="0" xr:uid="{00000000-0006-0000-0000-00000F000000}">
      <text>
        <r>
          <rPr>
            <sz val="11"/>
            <color theme="1"/>
            <rFont val="Arial"/>
            <scheme val="minor"/>
          </rPr>
          <t>======
ID#AAAAdWuMPIE
Juancho Calleja    (2020-12-23 19:12:55)
Carlina</t>
        </r>
      </text>
    </comment>
    <comment ref="AK1" authorId="0" shapeId="0" xr:uid="{00000000-0006-0000-0000-000016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ID#AAAAdWuMPH8
</t>
        </r>
        <r>
          <rPr>
            <sz val="11"/>
            <color rgb="FF000000"/>
            <rFont val="Arial"/>
          </rPr>
          <t xml:space="preserve">Juancho Calleja    (2020-12-23 14:04:05)
</t>
        </r>
        <r>
          <rPr>
            <sz val="11"/>
            <color rgb="FF000000"/>
            <rFont val="Arial"/>
          </rPr>
          <t>Centaurea pinnata</t>
        </r>
      </text>
    </comment>
    <comment ref="AP1" authorId="0" shapeId="0" xr:uid="{00000000-0006-0000-0000-000018000000}">
      <text>
        <r>
          <rPr>
            <sz val="11"/>
            <color theme="1"/>
            <rFont val="Arial"/>
            <scheme val="minor"/>
          </rPr>
          <t>======
ID#AAAAdWuRWyc
Juancho Calleja    (2020-12-23 11:35:45)
Umbelífera grande</t>
        </r>
      </text>
    </comment>
    <comment ref="AS1" authorId="0" shapeId="0" xr:uid="{00000000-0006-0000-0000-000019000000}">
      <text>
        <r>
          <rPr>
            <sz val="11"/>
            <color theme="1"/>
            <rFont val="Arial"/>
            <scheme val="minor"/>
          </rPr>
          <t>======
ID#AAAAdWuRWzA
Juancho Calleja    (2020-12-23 11:35:03)
Euphorbia lechuga</t>
        </r>
      </text>
    </comment>
    <comment ref="AV1" authorId="0" shapeId="0" xr:uid="{00000000-0006-0000-0000-00001B000000}">
      <text>
        <r>
          <rPr>
            <sz val="11"/>
            <color theme="1"/>
            <rFont val="Arial"/>
            <scheme val="minor"/>
          </rPr>
          <t>======
ID#AAAAdWwlNfs
Juancho Calleja    (2020-12-23 11:34:25)
Gaudinia fragilis</t>
        </r>
      </text>
    </comment>
    <comment ref="AZ1" authorId="0" shapeId="0" xr:uid="{00000000-0006-0000-0000-00000E000000}">
      <text>
        <r>
          <rPr>
            <sz val="11"/>
            <color theme="1"/>
            <rFont val="Arial"/>
            <scheme val="minor"/>
          </rPr>
          <t>======
ID#AAAAdXRde34
Juancho Calleja    (2020-12-25 17:05:04)
Leontodon longirostris</t>
        </r>
      </text>
    </comment>
    <comment ref="BD1" authorId="0" shapeId="0" xr:uid="{00000000-0006-0000-0000-00001A000000}">
      <text>
        <r>
          <rPr>
            <sz val="11"/>
            <color theme="1"/>
            <rFont val="Arial"/>
            <scheme val="minor"/>
          </rPr>
          <t>======
ID#AAAAdWwlNe4
Juancho Calleja    (2020-12-23 11:34:51)
Logfia minima</t>
        </r>
      </text>
    </comment>
    <comment ref="BE1" authorId="0" shapeId="0" xr:uid="{00000000-0006-0000-0000-00000D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ID#AAAAdWuMPHo
</t>
        </r>
        <r>
          <rPr>
            <sz val="11"/>
            <color rgb="FF000000"/>
            <rFont val="Arial"/>
          </rPr>
          <t xml:space="preserve">Juancho Calleja    (2020-12-25 18:13:02)
</t>
        </r>
        <r>
          <rPr>
            <sz val="11"/>
            <color rgb="FF000000"/>
            <rFont val="Arial"/>
          </rPr>
          <t>Incluye los datos de "Iris" de T5M1,  T8M3, T19M2, T22M3, T26M3</t>
        </r>
      </text>
    </comment>
    <comment ref="BK1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ID#AAABrFqlkrY
Juancho “Juan A. Calleja Alarcón” Calleja    (2025-09-12 16:33:36)
Polygala mosnpeliaca</t>
        </r>
      </text>
    </comment>
    <comment ref="BO1" authorId="0" shapeId="0" xr:uid="{00000000-0006-0000-0000-000014000000}">
      <text>
        <r>
          <rPr>
            <sz val="11"/>
            <color theme="1"/>
            <rFont val="Arial"/>
            <scheme val="minor"/>
          </rPr>
          <t>======
ID#AAAAdWwlNfU
Juancho Calleja    (2020-12-23 15:04:09)
Andropogon</t>
        </r>
      </text>
    </comment>
    <comment ref="BQ1" authorId="0" shapeId="0" xr:uid="{00000000-0006-0000-0000-000011000000}">
      <text>
        <r>
          <rPr>
            <sz val="11"/>
            <color theme="1"/>
            <rFont val="Arial"/>
            <scheme val="minor"/>
          </rPr>
          <t>======
ID#AAAAdWwlNf8
Juancho Calleja    (2020-12-23 17:59:05)
Silene caliz globoso-peloso</t>
        </r>
      </text>
    </comment>
    <comment ref="O10" authorId="0" shapeId="0" xr:uid="{00000000-0006-0000-0000-00005D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ID#AAAAdXRde3I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Todos los desajustes están así en el estadillo, no he querido tomar la decisión de sumar o quitar porcentajes a alguna especie en concreto</t>
        </r>
      </text>
    </comment>
    <comment ref="AD12" authorId="0" shapeId="0" xr:uid="{00000000-0006-0000-0000-000061000000}">
      <text>
        <r>
          <rPr>
            <sz val="11"/>
            <color theme="1"/>
            <rFont val="Arial"/>
            <scheme val="minor"/>
          </rPr>
          <t>======
ID#AAAAdWwlNeE
jnpuy    (2020-12-22 14:47:18)
sólo genero en el estadillo</t>
        </r>
      </text>
    </comment>
    <comment ref="G13" authorId="0" shapeId="0" xr:uid="{00000000-0006-0000-0000-000071000000}">
      <text>
        <r>
          <rPr>
            <sz val="11"/>
            <color theme="1"/>
            <rFont val="Arial"/>
            <scheme val="minor"/>
          </rPr>
          <t>======
ID#AAAAdXRde3g
jnpuy    (2020-12-22 14:47:18)
en planta dron 82</t>
        </r>
      </text>
    </comment>
    <comment ref="H13" authorId="0" shapeId="0" xr:uid="{00000000-0006-0000-0000-000003000000}">
      <text>
        <r>
          <rPr>
            <sz val="11"/>
            <color theme="1"/>
            <rFont val="Arial"/>
            <scheme val="minor"/>
          </rPr>
          <t>======
ID#AAAAdXRde3c
Juancho Calleja    (2020-12-25 18:25:16)
deducido de las plantas registradas</t>
        </r>
      </text>
    </comment>
    <comment ref="H19" authorId="0" shapeId="0" xr:uid="{00000000-0006-0000-0000-000004000000}">
      <text>
        <r>
          <rPr>
            <sz val="11"/>
            <color theme="1"/>
            <rFont val="Arial"/>
            <scheme val="minor"/>
          </rPr>
          <t>======
ID#AAAAdWuRWyM
Juancho Calleja    (2020-12-25 18:24:36)
deducido de las plantas registradas</t>
        </r>
      </text>
    </comment>
    <comment ref="M19" authorId="0" shapeId="0" xr:uid="{00000000-0006-0000-0000-00004C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ID#AAAAdWwlNfw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 xml:space="preserve">en el estadillo pone 72
</t>
        </r>
        <r>
          <rPr>
            <sz val="11"/>
            <color rgb="FF000000"/>
            <rFont val="Arial"/>
          </rPr>
          <t xml:space="preserve">------
</t>
        </r>
        <r>
          <rPr>
            <sz val="11"/>
            <color rgb="FF000000"/>
            <rFont val="Arial"/>
          </rPr>
          <t xml:space="preserve">ID#AAAAdWwlNf0
</t>
        </r>
        <r>
          <rPr>
            <sz val="11"/>
            <color rgb="FF000000"/>
            <rFont val="Arial"/>
          </rPr>
          <t xml:space="preserve">Juancho Calleja    (2020-12-25 17:18:26)
</t>
        </r>
        <r>
          <rPr>
            <sz val="11"/>
            <color rgb="FF000000"/>
            <rFont val="Arial"/>
          </rPr>
          <t>no han de sumar 100 pues las leñosas pueden estar por encima de musgos o herbáceas</t>
        </r>
      </text>
    </comment>
    <comment ref="Y21" authorId="0" shapeId="0" xr:uid="{00000000-0006-0000-0000-000040000000}">
      <text>
        <r>
          <rPr>
            <sz val="11"/>
            <color theme="1"/>
            <rFont val="Arial"/>
            <scheme val="minor"/>
          </rPr>
          <t>======
ID#AAAAdWuRWzs
jnpuy    (2020-12-22 14:47:18)
sólo genero en el estadillo</t>
        </r>
      </text>
    </comment>
    <comment ref="BT21" authorId="0" shapeId="0" xr:uid="{00000000-0006-0000-0000-00002B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ID#AAAAdWuMPIM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genero en el estadillo</t>
        </r>
      </text>
    </comment>
    <comment ref="H22" authorId="0" shapeId="0" xr:uid="{00000000-0006-0000-0000-000005000000}">
      <text>
        <r>
          <rPr>
            <sz val="11"/>
            <color theme="1"/>
            <rFont val="Arial"/>
            <scheme val="minor"/>
          </rPr>
          <t>======
ID#AAAAdWuRWyU
Juancho Calleja    (2020-12-25 18:24:00)
deducido de las plantas registradas</t>
        </r>
      </text>
    </comment>
    <comment ref="Y22" authorId="0" shapeId="0" xr:uid="{00000000-0006-0000-0000-00003D000000}">
      <text>
        <r>
          <rPr>
            <sz val="11"/>
            <color theme="1"/>
            <rFont val="Arial"/>
            <scheme val="minor"/>
          </rPr>
          <t>======
ID#AAAAdWwlNd0
jnpuy    (2020-12-22 14:47:18)
sólo genero en el estadillo</t>
        </r>
      </text>
    </comment>
    <comment ref="Y24" authorId="0" shapeId="0" xr:uid="{00000000-0006-0000-0000-00003F000000}">
      <text>
        <r>
          <rPr>
            <sz val="11"/>
            <color theme="1"/>
            <rFont val="Arial"/>
            <scheme val="minor"/>
          </rPr>
          <t>======
ID#AAAAdWuRWzw
jnpuy    (2020-12-22 14:47:18)
sólo genero en el estadillo</t>
        </r>
      </text>
    </comment>
    <comment ref="BT25" authorId="0" shapeId="0" xr:uid="{00000000-0006-0000-0000-000046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ID#AAAAdWuRWys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teucrium chamaepitys?</t>
        </r>
      </text>
    </comment>
    <comment ref="Z27" authorId="0" shapeId="0" xr:uid="{00000000-0006-0000-0000-000045000000}">
      <text>
        <r>
          <rPr>
            <sz val="11"/>
            <color theme="1"/>
            <rFont val="Arial"/>
            <scheme val="minor"/>
          </rPr>
          <t>======
ID#AAAAdWuRWyw
jnpuy    (2020-12-22 14:47:18)
sólo género en el estadillo</t>
        </r>
      </text>
    </comment>
    <comment ref="H28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ID#AAAAdWwlNfA
Juancho Calleja    (2020-12-25 18:25:50)
deducido de las plantas registradas</t>
        </r>
      </text>
    </comment>
    <comment ref="Y28" authorId="0" shapeId="0" xr:uid="{00000000-0006-0000-0000-00004F000000}">
      <text>
        <r>
          <rPr>
            <sz val="11"/>
            <color theme="1"/>
            <rFont val="Arial"/>
            <scheme val="minor"/>
          </rPr>
          <t>======
ID#AAAAdXRde3A
jnpuy    (2020-12-22 14:47:18)
sólo genero en el estadillo</t>
        </r>
      </text>
    </comment>
    <comment ref="Y32" authorId="0" shapeId="0" xr:uid="{00000000-0006-0000-0000-00002D000000}">
      <text>
        <r>
          <rPr>
            <sz val="11"/>
            <color theme="1"/>
            <rFont val="Arial"/>
            <scheme val="minor"/>
          </rPr>
          <t>======
ID#AAAAdWuMPHk
jnpuy    (2020-12-22 14:47:18)
sólo genero en el estadillo</t>
        </r>
      </text>
    </comment>
    <comment ref="AD32" authorId="0" shapeId="0" xr:uid="{00000000-0006-0000-0000-000064000000}">
      <text>
        <r>
          <rPr>
            <sz val="11"/>
            <color theme="1"/>
            <rFont val="Arial"/>
            <scheme val="minor"/>
          </rPr>
          <t>======
ID#AAAAdWwlNeM
jnpuy    (2020-12-22 14:47:18)
sólo genero</t>
        </r>
      </text>
    </comment>
    <comment ref="AW32" authorId="0" shapeId="0" xr:uid="{00000000-0006-0000-0000-000072000000}">
      <text>
        <r>
          <rPr>
            <sz val="11"/>
            <color theme="1"/>
            <rFont val="Arial"/>
            <scheme val="minor"/>
          </rPr>
          <t>======
ID#AAAAdWwlNeY
jnpuy    (2020-12-22 14:47:18)
sólo genero en el estadillo</t>
        </r>
      </text>
    </comment>
    <comment ref="BG32" authorId="0" shapeId="0" xr:uid="{00000000-0006-0000-0000-000022000000}">
      <text>
        <r>
          <rPr>
            <sz val="11"/>
            <color theme="1"/>
            <rFont val="Arial"/>
            <scheme val="minor"/>
          </rPr>
          <t>======
ID#AAAAdWuRWzI
jnpuy    (2020-12-22 14:47:18)
sólo genero en el estadillo</t>
        </r>
      </text>
    </comment>
    <comment ref="BT32" authorId="0" shapeId="0" xr:uid="{00000000-0006-0000-0000-00005F000000}">
      <text>
        <r>
          <rPr>
            <sz val="11"/>
            <color theme="1"/>
            <rFont val="Arial"/>
            <scheme val="minor"/>
          </rPr>
          <t>======
ID#AAAAdWwlNfY
jnpuy    (2020-12-22 14:47:18)
sólo género</t>
        </r>
      </text>
    </comment>
    <comment ref="AD33" authorId="0" shapeId="0" xr:uid="{00000000-0006-0000-0000-000052000000}">
      <text>
        <r>
          <rPr>
            <sz val="11"/>
            <color theme="1"/>
            <rFont val="Arial"/>
            <scheme val="minor"/>
          </rPr>
          <t>======
ID#AAAAdWwlNfM
jnpuy    (2020-12-22 14:47:18)
sólo género</t>
        </r>
      </text>
    </comment>
    <comment ref="Y35" authorId="0" shapeId="0" xr:uid="{00000000-0006-0000-0000-00006B000000}">
      <text>
        <r>
          <rPr>
            <sz val="11"/>
            <color theme="1"/>
            <rFont val="Arial"/>
            <scheme val="minor"/>
          </rPr>
          <t>======
ID#AAAAdWwlNf4
jnpuy    (2020-12-22 14:47:18)
sólo genero en el estadillo</t>
        </r>
      </text>
    </comment>
    <comment ref="AD35" authorId="0" shapeId="0" xr:uid="{00000000-0006-0000-0000-000029000000}">
      <text>
        <r>
          <rPr>
            <sz val="11"/>
            <color theme="1"/>
            <rFont val="Arial"/>
            <scheme val="minor"/>
          </rPr>
          <t>======
ID#AAAAdWuMPIQ
jnpuy    (2020-12-22 14:47:18)
sólo género</t>
        </r>
      </text>
    </comment>
    <comment ref="AD36" authorId="0" shapeId="0" xr:uid="{00000000-0006-0000-0000-00004A000000}">
      <text>
        <r>
          <rPr>
            <sz val="11"/>
            <color theme="1"/>
            <rFont val="Arial"/>
            <scheme val="minor"/>
          </rPr>
          <t>======
ID#AAAAdXRde28
jnpuy    (2020-12-22 14:47:18)
sólo género</t>
        </r>
      </text>
    </comment>
    <comment ref="AD38" authorId="0" shapeId="0" xr:uid="{00000000-0006-0000-0000-000062000000}">
      <text>
        <r>
          <rPr>
            <sz val="11"/>
            <color theme="1"/>
            <rFont val="Arial"/>
            <scheme val="minor"/>
          </rPr>
          <t>======
ID#AAAAdXRde4A
jnpuy    (2020-12-22 14:47:18)
sólo género</t>
        </r>
      </text>
    </comment>
    <comment ref="AD39" authorId="0" shapeId="0" xr:uid="{00000000-0006-0000-0000-000025000000}">
      <text>
        <r>
          <rPr>
            <sz val="11"/>
            <color theme="1"/>
            <rFont val="Arial"/>
            <scheme val="minor"/>
          </rPr>
          <t>======
ID#AAAAdXRde3w
jnpuy    (2020-12-22 14:47:18)
sólo género</t>
        </r>
      </text>
    </comment>
    <comment ref="AW39" authorId="0" shapeId="0" xr:uid="{00000000-0006-0000-0000-000055000000}">
      <text>
        <r>
          <rPr>
            <sz val="11"/>
            <color theme="1"/>
            <rFont val="Arial"/>
            <scheme val="minor"/>
          </rPr>
          <t>======
ID#AAAAdWwlNfI
jnpuy    (2020-12-22 14:47:18)
sólo genero en el estadillo</t>
        </r>
      </text>
    </comment>
    <comment ref="AD43" authorId="0" shapeId="0" xr:uid="{00000000-0006-0000-0000-000048000000}">
      <text>
        <r>
          <rPr>
            <sz val="11"/>
            <color theme="1"/>
            <rFont val="Arial"/>
            <scheme val="minor"/>
          </rPr>
          <t>======
ID#AAAAdWwlNfc
jnpuy    (2020-12-22 14:47:18)
sólo género</t>
        </r>
      </text>
    </comment>
    <comment ref="BG47" authorId="0" shapeId="0" xr:uid="{00000000-0006-0000-0000-000028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ID#AAAAdWuMPHs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AW50" authorId="0" shapeId="0" xr:uid="{00000000-0006-0000-0000-00003C000000}">
      <text>
        <r>
          <rPr>
            <sz val="11"/>
            <color theme="1"/>
            <rFont val="Arial"/>
            <scheme val="minor"/>
          </rPr>
          <t>======
ID#AAAAdWwlNd4
jnpuy    (2020-12-22 14:47:18)
gladiolus cine...</t>
        </r>
      </text>
    </comment>
    <comment ref="AW51" authorId="0" shapeId="0" xr:uid="{00000000-0006-0000-0000-000070000000}">
      <text>
        <r>
          <rPr>
            <sz val="11"/>
            <color theme="1"/>
            <rFont val="Arial"/>
            <scheme val="minor"/>
          </rPr>
          <t>======
ID#AAAAdXRde3k
jnpuy    (2020-12-22 14:47:18)
sólo genero en el estadillo</t>
        </r>
      </text>
    </comment>
    <comment ref="G53" authorId="0" shapeId="0" xr:uid="{00000000-0006-0000-0000-00006E000000}">
      <text>
        <r>
          <rPr>
            <sz val="11"/>
            <color theme="1"/>
            <rFont val="Arial"/>
            <scheme val="minor"/>
          </rPr>
          <t>======
ID#AAAAdWwlNdo
jnpuy    (2020-12-22 14:47:18)
a 75cm a la derecha</t>
        </r>
      </text>
    </comment>
    <comment ref="U53" authorId="0" shapeId="0" xr:uid="{00000000-0006-0000-0000-000056000000}">
      <text>
        <r>
          <rPr>
            <sz val="11"/>
            <color theme="1"/>
            <rFont val="Arial"/>
            <scheme val="minor"/>
          </rPr>
          <t>======
ID#AAAAdWwlNeg
jnpuy    (2020-12-22 14:47:18)
sólo género, comido</t>
        </r>
      </text>
    </comment>
    <comment ref="Y53" authorId="0" shapeId="0" xr:uid="{00000000-0006-0000-0000-000030000000}">
      <text>
        <r>
          <rPr>
            <sz val="11"/>
            <color theme="1"/>
            <rFont val="Arial"/>
            <scheme val="minor"/>
          </rPr>
          <t>======
ID#AAAAdWuMPII
jnpuy    (2020-12-22 14:47:18)
sólo género</t>
        </r>
      </text>
    </comment>
    <comment ref="BT53" authorId="0" shapeId="0" xr:uid="{00000000-0006-0000-0000-000031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ID#AAAAdXRde4k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U54" authorId="0" shapeId="0" xr:uid="{00000000-0006-0000-0000-00002E000000}">
      <text>
        <r>
          <rPr>
            <sz val="11"/>
            <color theme="1"/>
            <rFont val="Arial"/>
            <scheme val="minor"/>
          </rPr>
          <t>======
ID#AAAAdWwlNe0
jnpuy    (2020-12-22 14:47:18)
sólo género</t>
        </r>
      </text>
    </comment>
    <comment ref="Y54" authorId="0" shapeId="0" xr:uid="{00000000-0006-0000-0000-000057000000}">
      <text>
        <r>
          <rPr>
            <sz val="11"/>
            <color theme="1"/>
            <rFont val="Arial"/>
            <scheme val="minor"/>
          </rPr>
          <t>======
ID#AAAAdWuMPH0
jnpuy    (2020-12-22 14:47:18)
sólo género</t>
        </r>
      </text>
    </comment>
    <comment ref="AD54" authorId="0" shapeId="0" xr:uid="{00000000-0006-0000-0000-000026000000}">
      <text>
        <r>
          <rPr>
            <sz val="11"/>
            <color theme="1"/>
            <rFont val="Arial"/>
            <scheme val="minor"/>
          </rPr>
          <t>======
ID#AAAAdWuMPIU
jnpuy    (2020-12-22 14:47:18)
sólo género</t>
        </r>
      </text>
    </comment>
    <comment ref="BT55" authorId="0" shapeId="0" xr:uid="{00000000-0006-0000-0000-00006A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ID#AAAAdXRde4Q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Y56" authorId="0" shapeId="0" xr:uid="{00000000-0006-0000-0000-000041000000}">
      <text>
        <r>
          <rPr>
            <sz val="11"/>
            <color theme="1"/>
            <rFont val="Arial"/>
            <scheme val="minor"/>
          </rPr>
          <t>======
ID#AAAAdWuRWzo
jnpuy    (2020-12-22 14:47:18)
Asphodelus algo que no entiendo</t>
        </r>
      </text>
    </comment>
    <comment ref="AW56" authorId="0" shapeId="0" xr:uid="{00000000-0006-0000-0000-000036000000}">
      <text>
        <r>
          <rPr>
            <sz val="11"/>
            <color theme="1"/>
            <rFont val="Arial"/>
            <scheme val="minor"/>
          </rPr>
          <t>======
ID#AAAAdWuRWyQ
jnpuy    (2020-12-22 14:47:18)
sólo genero en el estadillo</t>
        </r>
      </text>
    </comment>
    <comment ref="AD57" authorId="0" shapeId="0" xr:uid="{00000000-0006-0000-0000-000034000000}">
      <text>
        <r>
          <rPr>
            <sz val="11"/>
            <color theme="1"/>
            <rFont val="Arial"/>
            <scheme val="minor"/>
          </rPr>
          <t>======
ID#AAAAdWuMPHc
jnpuy    (2020-12-22 14:47:18)
sólo género</t>
        </r>
      </text>
    </comment>
    <comment ref="H58" authorId="0" shapeId="0" xr:uid="{00000000-0006-0000-0000-000006000000}">
      <text>
        <r>
          <rPr>
            <sz val="11"/>
            <color theme="1"/>
            <rFont val="Arial"/>
            <scheme val="minor"/>
          </rPr>
          <t>======
ID#AAAAdWuMPH4
Juancho Calleja    (2020-12-25 18:23:27)
deducido de las plantas registradas</t>
        </r>
      </text>
    </comment>
    <comment ref="Y59" authorId="0" shapeId="0" xr:uid="{00000000-0006-0000-0000-000024000000}">
      <text>
        <r>
          <rPr>
            <sz val="11"/>
            <color theme="1"/>
            <rFont val="Arial"/>
            <scheme val="minor"/>
          </rPr>
          <t>======
ID#AAAAdXRde4Y
jnpuy    (2020-12-22 14:47:18)
sólo género</t>
        </r>
      </text>
    </comment>
    <comment ref="BT59" authorId="0" shapeId="0" xr:uid="{00000000-0006-0000-0000-00005C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ID#AAAAdWwlNeo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Y60" authorId="0" shapeId="0" xr:uid="{00000000-0006-0000-0000-000058000000}">
      <text>
        <r>
          <rPr>
            <sz val="11"/>
            <color theme="1"/>
            <rFont val="Arial"/>
            <scheme val="minor"/>
          </rPr>
          <t>======
ID#AAAAdXRde3Q
jnpuy    (2020-12-22 14:47:18)
sólo género</t>
        </r>
      </text>
    </comment>
    <comment ref="AD60" authorId="0" shapeId="0" xr:uid="{00000000-0006-0000-0000-000037000000}">
      <text>
        <r>
          <rPr>
            <sz val="11"/>
            <color theme="1"/>
            <rFont val="Arial"/>
            <scheme val="minor"/>
          </rPr>
          <t>======
ID#AAAAdWuMPIA
jnpuy    (2020-12-22 14:47:18)
sólo género</t>
        </r>
      </text>
    </comment>
    <comment ref="BG60" authorId="0" shapeId="0" xr:uid="{00000000-0006-0000-0000-00005E000000}">
      <text>
        <r>
          <rPr>
            <sz val="11"/>
            <color theme="1"/>
            <rFont val="Arial"/>
            <scheme val="minor"/>
          </rPr>
          <t>======
ID#AAAAdXRde3E
jnpuy    (2020-12-22 14:47:18)
sólo género</t>
        </r>
      </text>
    </comment>
    <comment ref="AD61" authorId="0" shapeId="0" xr:uid="{00000000-0006-0000-0000-00001C000000}">
      <text>
        <r>
          <rPr>
            <sz val="11"/>
            <color theme="1"/>
            <rFont val="Arial"/>
            <scheme val="minor"/>
          </rPr>
          <t>======
ID#AAAAdXRde4c
jnpuy    (2020-12-22 14:47:18)
sólo género</t>
        </r>
      </text>
    </comment>
    <comment ref="AD62" authorId="0" shapeId="0" xr:uid="{00000000-0006-0000-0000-00004E000000}">
      <text>
        <r>
          <rPr>
            <sz val="11"/>
            <color theme="1"/>
            <rFont val="Arial"/>
            <scheme val="minor"/>
          </rPr>
          <t>======
ID#AAAAdWuRWy0
jnpuy    (2020-12-22 14:47:18)
sólo género</t>
        </r>
      </text>
    </comment>
    <comment ref="BT62" authorId="0" shapeId="0" xr:uid="{00000000-0006-0000-0000-000051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ID#AAAAdWwlNec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BT64" authorId="0" shapeId="0" xr:uid="{00000000-0006-0000-0000-000044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ID#AAAAdWuRWzc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BT66" authorId="0" shapeId="0" xr:uid="{00000000-0006-0000-0000-00002A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ID#AAAAdXRde4s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chamaepitis?</t>
        </r>
      </text>
    </comment>
    <comment ref="AD67" authorId="0" shapeId="0" xr:uid="{00000000-0006-0000-0000-00002F000000}">
      <text>
        <r>
          <rPr>
            <sz val="11"/>
            <color theme="1"/>
            <rFont val="Arial"/>
            <scheme val="minor"/>
          </rPr>
          <t>======
ID#AAAAdWuRWyY
jnpuy    (2020-12-22 14:47:18)
sólo género</t>
        </r>
      </text>
    </comment>
    <comment ref="BT68" authorId="0" shapeId="0" xr:uid="{00000000-0006-0000-0000-000027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ID#AAAAdWuRWzE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Y69" authorId="0" shapeId="0" xr:uid="{00000000-0006-0000-0000-000073000000}">
      <text>
        <r>
          <rPr>
            <sz val="11"/>
            <color theme="1"/>
            <rFont val="Arial"/>
            <scheme val="minor"/>
          </rPr>
          <t>======
ID#AAAAdWwlNdw
jnpuy    (2020-12-22 14:47:18)
sólo género</t>
        </r>
      </text>
    </comment>
    <comment ref="BS69" authorId="0" shapeId="0" xr:uid="{00000000-0006-0000-0000-00001F000000}">
      <text>
        <r>
          <rPr>
            <sz val="11"/>
            <color theme="1"/>
            <rFont val="Arial"/>
            <scheme val="minor"/>
          </rPr>
          <t>======
ID#AAAAdWuRWzM
jnpuy    (2020-12-22 14:47:18)
sólo género</t>
        </r>
      </text>
    </comment>
    <comment ref="BT69" authorId="0" shapeId="0" xr:uid="{00000000-0006-0000-0000-00006F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ID#AAAAdXRde4M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U70" authorId="0" shapeId="0" xr:uid="{00000000-0006-0000-0000-000068000000}">
      <text>
        <r>
          <rPr>
            <sz val="11"/>
            <color theme="1"/>
            <rFont val="Arial"/>
            <scheme val="minor"/>
          </rPr>
          <t>======
ID#AAAAdWwlNeU
jnpuy    (2020-12-22 14:47:18)
sólo género</t>
        </r>
      </text>
    </comment>
    <comment ref="Y70" authorId="0" shapeId="0" xr:uid="{00000000-0006-0000-0000-000053000000}">
      <text>
        <r>
          <rPr>
            <sz val="11"/>
            <color theme="1"/>
            <rFont val="Arial"/>
            <scheme val="minor"/>
          </rPr>
          <t>======
ID#AAAAdXRde38
jnpuy    (2020-12-22 14:47:18)
sólo género</t>
        </r>
      </text>
    </comment>
    <comment ref="BT70" authorId="0" shapeId="0" xr:uid="{00000000-0006-0000-0000-00004B000000}">
      <text>
        <r>
          <rPr>
            <sz val="11"/>
            <color rgb="FF000000"/>
            <rFont val="Arial"/>
          </rPr>
          <t xml:space="preserve">======
</t>
        </r>
        <r>
          <rPr>
            <sz val="11"/>
            <color rgb="FF000000"/>
            <rFont val="Arial"/>
          </rPr>
          <t xml:space="preserve">ID#AAAAdWwlNfk
</t>
        </r>
        <r>
          <rPr>
            <sz val="11"/>
            <color rgb="FF000000"/>
            <rFont val="Arial"/>
          </rPr>
          <t xml:space="preserve">jnpuy    (2020-12-22 14:47:18)
</t>
        </r>
        <r>
          <rPr>
            <sz val="11"/>
            <color rgb="FF000000"/>
            <rFont val="Arial"/>
          </rPr>
          <t>sólo género</t>
        </r>
      </text>
    </comment>
    <comment ref="AD72" authorId="0" shapeId="0" xr:uid="{00000000-0006-0000-0000-00004D000000}">
      <text>
        <r>
          <rPr>
            <sz val="11"/>
            <color theme="1"/>
            <rFont val="Arial"/>
            <scheme val="minor"/>
          </rPr>
          <t>======
ID#AAAAdXRde30
jnpuy    (2020-12-22 14:47:18)
sólo género</t>
        </r>
      </text>
    </comment>
    <comment ref="U79" authorId="0" shapeId="0" xr:uid="{00000000-0006-0000-0000-000050000000}">
      <text>
        <r>
          <rPr>
            <sz val="11"/>
            <color theme="1"/>
            <rFont val="Arial"/>
            <scheme val="minor"/>
          </rPr>
          <t>======
ID#AAAAdWwlNfE
jnpuy    (2020-12-22 14:47:18)
Sólo género</t>
        </r>
      </text>
    </comment>
    <comment ref="BG79" authorId="0" shapeId="0" xr:uid="{00000000-0006-0000-0000-000059000000}">
      <text>
        <r>
          <rPr>
            <sz val="11"/>
            <color theme="1"/>
            <rFont val="Arial"/>
            <scheme val="minor"/>
          </rPr>
          <t>======
ID#AAAAdWwlNes
jnpuy    (2020-12-22 14:47:18)
Sólo género</t>
        </r>
      </text>
    </comment>
    <comment ref="U84" authorId="0" shapeId="0" xr:uid="{00000000-0006-0000-0000-000023000000}">
      <text>
        <r>
          <rPr>
            <sz val="11"/>
            <color theme="1"/>
            <rFont val="Arial"/>
            <scheme val="minor"/>
          </rPr>
          <t>======
ID#AAAAdWuMPHw
jnpuy    (2020-12-22 14:47:18)
Sólo género</t>
        </r>
      </text>
    </comment>
    <comment ref="BG85" authorId="0" shapeId="0" xr:uid="{00000000-0006-0000-0000-000063000000}">
      <text>
        <r>
          <rPr>
            <sz val="11"/>
            <color theme="1"/>
            <rFont val="Arial"/>
            <scheme val="minor"/>
          </rPr>
          <t>======
ID#AAAAdWwlNeA
jnpuy    (2020-12-22 14:47:18)
la especie no la entiendo bien</t>
        </r>
      </text>
    </comment>
    <comment ref="H88" authorId="0" shapeId="0" xr:uid="{00000000-0006-0000-0000-000007000000}">
      <text>
        <r>
          <rPr>
            <sz val="11"/>
            <color theme="1"/>
            <rFont val="Arial"/>
            <scheme val="minor"/>
          </rPr>
          <t>======
ID#AAAAdWuRWyg
Juancho Calleja    (2020-12-25 18:22:12)
deducido de las plantas registradas</t>
        </r>
      </text>
    </comment>
    <comment ref="Y88" authorId="0" shapeId="0" xr:uid="{00000000-0006-0000-0000-000069000000}">
      <text>
        <r>
          <rPr>
            <sz val="11"/>
            <color theme="1"/>
            <rFont val="Arial"/>
            <scheme val="minor"/>
          </rPr>
          <t>======
ID#AAAAdWwlNds
jnpuy    (2020-12-22 14:47:18)
sólo género</t>
        </r>
      </text>
    </comment>
    <comment ref="AD88" authorId="0" shapeId="0" xr:uid="{00000000-0006-0000-0000-00003B000000}">
      <text>
        <r>
          <rPr>
            <sz val="11"/>
            <color theme="1"/>
            <rFont val="Arial"/>
            <scheme val="minor"/>
          </rPr>
          <t>======
ID#AAAAdXRde4w
jnpuy    (2020-12-22 14:47:18)
sólo género</t>
        </r>
      </text>
    </comment>
    <comment ref="BG88" authorId="0" shapeId="0" xr:uid="{00000000-0006-0000-0000-00001D000000}">
      <text>
        <r>
          <rPr>
            <sz val="11"/>
            <color theme="1"/>
            <rFont val="Arial"/>
            <scheme val="minor"/>
          </rPr>
          <t>======
ID#AAAAdWuRWzQ
jnpuy    (2020-12-22 14:47:18)
sólo género</t>
        </r>
      </text>
    </comment>
    <comment ref="BT89" authorId="0" shapeId="0" xr:uid="{00000000-0006-0000-0000-000066000000}">
      <text>
        <r>
          <rPr>
            <sz val="11"/>
            <color theme="1"/>
            <rFont val="Arial"/>
            <scheme val="minor"/>
          </rPr>
          <t>======
ID#AAAAdWwlNeI
jnpuy    (2020-12-22 14:47:18)
sólo género</t>
        </r>
      </text>
    </comment>
    <comment ref="BG90" authorId="0" shapeId="0" xr:uid="{00000000-0006-0000-0000-000060000000}">
      <text>
        <r>
          <rPr>
            <sz val="11"/>
            <color theme="1"/>
            <rFont val="Arial"/>
            <scheme val="minor"/>
          </rPr>
          <t>======
ID#AAAAdWwlNew
jnpuy    (2020-12-22 14:47:18)
sólo género</t>
        </r>
      </text>
    </comment>
    <comment ref="BT90" authorId="0" shapeId="0" xr:uid="{00000000-0006-0000-0000-000032000000}">
      <text>
        <r>
          <rPr>
            <sz val="11"/>
            <color theme="1"/>
            <rFont val="Arial"/>
            <scheme val="minor"/>
          </rPr>
          <t>======
ID#AAAAdWuMPHg
jnpuy    (2020-12-22 14:47:18)
sólo género</t>
        </r>
      </text>
    </comment>
    <comment ref="H91" authorId="0" shapeId="0" xr:uid="{00000000-0006-0000-0000-000008000000}">
      <text>
        <r>
          <rPr>
            <sz val="11"/>
            <color theme="1"/>
            <rFont val="Arial"/>
            <scheme val="minor"/>
          </rPr>
          <t>======
ID#AAAAdWuRWzY
Juancho Calleja    (2020-12-25 18:21:42)
deducido de las plantas registradas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7XojJsnBOJMZEmFFHZdbUlHaIg=="/>
    </ext>
  </extLst>
</comments>
</file>

<file path=xl/sharedStrings.xml><?xml version="1.0" encoding="utf-8"?>
<sst xmlns="http://schemas.openxmlformats.org/spreadsheetml/2006/main" count="345" uniqueCount="80">
  <si>
    <t>Cinta métrica</t>
  </si>
  <si>
    <t>Alt. Veg. Herb.</t>
  </si>
  <si>
    <t>Leñosas (%)</t>
  </si>
  <si>
    <t>Musgo (%)</t>
  </si>
  <si>
    <t>Liquenes (%)</t>
  </si>
  <si>
    <t>Herbáceas (%)</t>
  </si>
  <si>
    <t>Resto (no vivo)(%)</t>
  </si>
  <si>
    <t>TOTAL</t>
  </si>
  <si>
    <t>Corrector</t>
  </si>
  <si>
    <t>Aira cupaniana</t>
  </si>
  <si>
    <t>Allium moschatum</t>
  </si>
  <si>
    <t>Allium sphaerocephalon</t>
  </si>
  <si>
    <t>Alyssum sp.</t>
  </si>
  <si>
    <t>Anthyllis vulneraria</t>
  </si>
  <si>
    <t>Aphyllantes monspeliensis</t>
  </si>
  <si>
    <t>Arrhenatherum sp</t>
  </si>
  <si>
    <t>Asperula cynanchica</t>
  </si>
  <si>
    <t>Asperula aristata</t>
  </si>
  <si>
    <t>Asphodelus cerasiferus</t>
  </si>
  <si>
    <t>Asterolinon linum-stellatum</t>
  </si>
  <si>
    <t>Carlina vulgaris</t>
  </si>
  <si>
    <t>Atragalus incanus</t>
  </si>
  <si>
    <t>Bombycilaena erecta</t>
  </si>
  <si>
    <t>Brachypodium retusum</t>
  </si>
  <si>
    <t>Bupleurum rigidum</t>
  </si>
  <si>
    <t>Campanula erinus</t>
  </si>
  <si>
    <t>Carex humilis</t>
  </si>
  <si>
    <t>Carex halleriana</t>
  </si>
  <si>
    <t>Atractylis humilis</t>
  </si>
  <si>
    <t>Caryophyllaceae</t>
  </si>
  <si>
    <t>Centaurea linnifolia</t>
  </si>
  <si>
    <t>Podospermum laciniatum</t>
  </si>
  <si>
    <t>Crucianella angustifolia</t>
  </si>
  <si>
    <t>Dactylis glomerata</t>
  </si>
  <si>
    <t>Desmazeria rigida</t>
  </si>
  <si>
    <t>Elaeoselinum asclepium</t>
  </si>
  <si>
    <t>Eryngium campestre</t>
  </si>
  <si>
    <t>Euphorbia exigua</t>
  </si>
  <si>
    <t>Euphorbia isatidifolia</t>
  </si>
  <si>
    <t>Filago arvensis</t>
  </si>
  <si>
    <t>Filago piramidata</t>
  </si>
  <si>
    <t>Avenula bromoides</t>
  </si>
  <si>
    <t>Gladiolus communis</t>
  </si>
  <si>
    <t>Heliantemum salicifolium</t>
  </si>
  <si>
    <t>Koeleria vallesiana</t>
  </si>
  <si>
    <t>Leontodon saxatilis subsp. rothii</t>
  </si>
  <si>
    <t>Linum strictum</t>
  </si>
  <si>
    <t>Linum trigynum</t>
  </si>
  <si>
    <t>Linum narbonense</t>
  </si>
  <si>
    <t>Filago minima</t>
  </si>
  <si>
    <t>Muscari comosum</t>
  </si>
  <si>
    <t>Narcissus assoanus</t>
  </si>
  <si>
    <t>Narcissus dubius</t>
  </si>
  <si>
    <t>Ophrys sp</t>
  </si>
  <si>
    <t xml:space="preserve">Orobanche sp. </t>
  </si>
  <si>
    <t>Polygala rupestris</t>
  </si>
  <si>
    <t>Klasea pinnatifida</t>
  </si>
  <si>
    <t>Rubia peregrina</t>
  </si>
  <si>
    <t>Sanguisorba sp.</t>
  </si>
  <si>
    <t>Scorzonera angustifolia</t>
  </si>
  <si>
    <t>Sedum album</t>
  </si>
  <si>
    <t>Silene apetala</t>
  </si>
  <si>
    <t>Silene colorata</t>
  </si>
  <si>
    <t>Stipa offneri</t>
  </si>
  <si>
    <t>Teucrium pseudochamaepitys</t>
  </si>
  <si>
    <t>Thesium humifusum</t>
  </si>
  <si>
    <t>Thapsia dissecta / villosa</t>
  </si>
  <si>
    <t>Guillonea scabra</t>
  </si>
  <si>
    <t>site</t>
  </si>
  <si>
    <t>valencia</t>
  </si>
  <si>
    <t>year</t>
  </si>
  <si>
    <t>hyper</t>
  </si>
  <si>
    <t>high</t>
  </si>
  <si>
    <t>habitat</t>
  </si>
  <si>
    <t>scrub</t>
  </si>
  <si>
    <t>treatment</t>
  </si>
  <si>
    <t>plot</t>
  </si>
  <si>
    <t>sampling_unit</t>
  </si>
  <si>
    <t>controlhigh</t>
  </si>
  <si>
    <t>controlhyper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</si>
</sst>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0" fontId="2" fillId="3" borderId="0" xfId="0" applyFont="1" applyFill="1"/>
    <xf numFmtId="0" fontId="2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970"/>
  <sheetViews>
    <sheetView tabSelected="1" workbookViewId="0">
      <selection activeCell="C78" sqref="C78:C91"/>
    </sheetView>
  </sheetViews>
  <sheetFormatPr baseColWidth="10" defaultColWidth="12.6640625" defaultRowHeight="15" customHeight="1" x14ac:dyDescent="0.15"/>
  <cols>
    <col min="7" max="13" width="9.33203125" customWidth="1"/>
    <col min="14" max="15" width="10" customWidth="1"/>
    <col min="16" max="75" width="9.33203125" customWidth="1"/>
  </cols>
  <sheetData>
    <row r="1" spans="1:75" x14ac:dyDescent="0.2">
      <c r="A1" t="s">
        <v>68</v>
      </c>
      <c r="B1" t="s">
        <v>73</v>
      </c>
      <c r="C1" t="s">
        <v>75</v>
      </c>
      <c r="D1" s="1" t="s">
        <v>76</v>
      </c>
      <c r="E1" s="1" t="s">
        <v>77</v>
      </c>
      <c r="F1" t="s">
        <v>70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2" t="s">
        <v>7</v>
      </c>
      <c r="O1" s="2" t="s">
        <v>8</v>
      </c>
      <c r="P1" s="3" t="s">
        <v>9</v>
      </c>
      <c r="Q1" s="1" t="s">
        <v>10</v>
      </c>
      <c r="R1" s="4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4" t="s">
        <v>18</v>
      </c>
      <c r="Z1" s="4" t="s">
        <v>19</v>
      </c>
      <c r="AA1" s="5" t="s">
        <v>20</v>
      </c>
      <c r="AB1" s="3" t="s">
        <v>21</v>
      </c>
      <c r="AC1" s="1" t="s">
        <v>22</v>
      </c>
      <c r="AD1" s="1" t="s">
        <v>23</v>
      </c>
      <c r="AE1" s="6" t="s">
        <v>24</v>
      </c>
      <c r="AF1" s="4" t="s">
        <v>25</v>
      </c>
      <c r="AG1" s="1" t="s">
        <v>26</v>
      </c>
      <c r="AH1" s="1" t="s">
        <v>27</v>
      </c>
      <c r="AI1" s="4" t="s">
        <v>28</v>
      </c>
      <c r="AJ1" s="7" t="s">
        <v>29</v>
      </c>
      <c r="AK1" s="4" t="s">
        <v>30</v>
      </c>
      <c r="AL1" s="4" t="s">
        <v>31</v>
      </c>
      <c r="AM1" s="1" t="s">
        <v>32</v>
      </c>
      <c r="AN1" s="5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4" t="s">
        <v>38</v>
      </c>
      <c r="AT1" s="4" t="s">
        <v>39</v>
      </c>
      <c r="AU1" s="1" t="s">
        <v>40</v>
      </c>
      <c r="AV1" s="8" t="s">
        <v>41</v>
      </c>
      <c r="AW1" s="1" t="s">
        <v>42</v>
      </c>
      <c r="AX1" s="9" t="s">
        <v>43</v>
      </c>
      <c r="AY1" s="1" t="s">
        <v>44</v>
      </c>
      <c r="AZ1" s="9" t="s">
        <v>45</v>
      </c>
      <c r="BA1" s="4" t="s">
        <v>46</v>
      </c>
      <c r="BB1" s="4" t="s">
        <v>47</v>
      </c>
      <c r="BC1" s="1" t="s">
        <v>48</v>
      </c>
      <c r="BD1" s="4" t="s">
        <v>49</v>
      </c>
      <c r="BE1" s="1" t="s">
        <v>50</v>
      </c>
      <c r="BF1" s="4" t="s">
        <v>42</v>
      </c>
      <c r="BG1" s="4" t="s">
        <v>51</v>
      </c>
      <c r="BH1" s="4" t="s">
        <v>52</v>
      </c>
      <c r="BI1" s="4" t="s">
        <v>53</v>
      </c>
      <c r="BJ1" s="5" t="s">
        <v>54</v>
      </c>
      <c r="BK1" s="6" t="s">
        <v>55</v>
      </c>
      <c r="BL1" s="4" t="s">
        <v>56</v>
      </c>
      <c r="BM1" s="1" t="s">
        <v>57</v>
      </c>
      <c r="BN1" s="1" t="s">
        <v>58</v>
      </c>
      <c r="BO1" s="4" t="s">
        <v>59</v>
      </c>
      <c r="BP1" s="1" t="s">
        <v>60</v>
      </c>
      <c r="BQ1" s="4" t="s">
        <v>61</v>
      </c>
      <c r="BR1" s="4" t="s">
        <v>62</v>
      </c>
      <c r="BS1" s="1" t="s">
        <v>63</v>
      </c>
      <c r="BT1" s="1" t="s">
        <v>64</v>
      </c>
      <c r="BU1" s="4" t="s">
        <v>65</v>
      </c>
      <c r="BV1" s="1" t="s">
        <v>66</v>
      </c>
      <c r="BW1" s="1" t="s">
        <v>67</v>
      </c>
    </row>
    <row r="2" spans="1:75" x14ac:dyDescent="0.2">
      <c r="A2" t="s">
        <v>69</v>
      </c>
      <c r="B2" t="s">
        <v>74</v>
      </c>
      <c r="C2" s="10" t="s">
        <v>72</v>
      </c>
      <c r="D2" s="10">
        <v>1</v>
      </c>
      <c r="E2" s="10">
        <v>1</v>
      </c>
      <c r="F2">
        <v>2020</v>
      </c>
      <c r="G2" s="10">
        <v>7</v>
      </c>
      <c r="H2" s="10">
        <v>33</v>
      </c>
      <c r="I2" s="10">
        <v>15</v>
      </c>
      <c r="J2" s="10">
        <v>0</v>
      </c>
      <c r="K2" s="10">
        <v>0</v>
      </c>
      <c r="L2" s="10">
        <v>80</v>
      </c>
      <c r="M2" s="10">
        <v>5</v>
      </c>
      <c r="N2" s="11">
        <f t="shared" ref="N2:N91" si="0">SUM(I2:M2)</f>
        <v>100</v>
      </c>
      <c r="O2" s="11">
        <f t="shared" ref="O2:O91" si="1">-L2+SUM(P2:CM2)</f>
        <v>0</v>
      </c>
      <c r="P2" s="10"/>
      <c r="Q2" s="10"/>
      <c r="R2" s="10"/>
      <c r="S2" s="10"/>
      <c r="T2" s="10"/>
      <c r="U2" s="10">
        <v>2</v>
      </c>
      <c r="V2" s="10"/>
      <c r="W2" s="10"/>
      <c r="X2" s="10"/>
      <c r="Y2" s="10"/>
      <c r="Z2" s="10"/>
      <c r="AA2" s="10"/>
      <c r="AB2" s="10"/>
      <c r="AC2" s="10"/>
      <c r="AD2" s="10">
        <v>75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2"/>
      <c r="BG2" s="10"/>
      <c r="BH2" s="10"/>
      <c r="BI2" s="10"/>
      <c r="BJ2" s="10"/>
      <c r="BK2" s="10"/>
      <c r="BL2" s="10"/>
      <c r="BM2" s="10"/>
      <c r="BN2" s="10"/>
      <c r="BO2" s="10"/>
      <c r="BP2" s="12">
        <v>1</v>
      </c>
      <c r="BQ2" s="10"/>
      <c r="BR2" s="10"/>
      <c r="BS2" s="10"/>
      <c r="BT2" s="10">
        <v>2</v>
      </c>
      <c r="BU2" s="10"/>
      <c r="BV2" s="10"/>
      <c r="BW2" s="10"/>
    </row>
    <row r="3" spans="1:75" x14ac:dyDescent="0.2">
      <c r="A3" t="s">
        <v>69</v>
      </c>
      <c r="B3" t="s">
        <v>74</v>
      </c>
      <c r="C3" s="10" t="s">
        <v>72</v>
      </c>
      <c r="D3" s="10">
        <v>1</v>
      </c>
      <c r="E3" s="10">
        <v>2</v>
      </c>
      <c r="F3">
        <v>2020</v>
      </c>
      <c r="G3" s="10">
        <v>16</v>
      </c>
      <c r="H3" s="10">
        <v>26</v>
      </c>
      <c r="I3" s="10">
        <v>14</v>
      </c>
      <c r="J3" s="10">
        <v>0</v>
      </c>
      <c r="K3" s="10">
        <v>0</v>
      </c>
      <c r="L3" s="10">
        <v>66</v>
      </c>
      <c r="M3" s="10">
        <v>20</v>
      </c>
      <c r="N3" s="11">
        <f t="shared" si="0"/>
        <v>100</v>
      </c>
      <c r="O3" s="11">
        <f t="shared" si="1"/>
        <v>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>
        <v>3</v>
      </c>
      <c r="AH3" s="10"/>
      <c r="AI3" s="10">
        <v>2</v>
      </c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2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>
        <v>60</v>
      </c>
      <c r="BT3" s="10">
        <v>1</v>
      </c>
      <c r="BU3" s="10"/>
      <c r="BV3" s="10"/>
      <c r="BW3" s="10"/>
    </row>
    <row r="4" spans="1:75" x14ac:dyDescent="0.2">
      <c r="A4" t="s">
        <v>69</v>
      </c>
      <c r="B4" t="s">
        <v>74</v>
      </c>
      <c r="C4" s="10" t="s">
        <v>72</v>
      </c>
      <c r="D4" s="10">
        <v>1</v>
      </c>
      <c r="E4" s="10">
        <v>3</v>
      </c>
      <c r="F4">
        <v>2020</v>
      </c>
      <c r="G4" s="10">
        <v>21</v>
      </c>
      <c r="H4" s="10">
        <v>38</v>
      </c>
      <c r="I4" s="10">
        <v>0</v>
      </c>
      <c r="J4" s="10">
        <v>5</v>
      </c>
      <c r="K4" s="10">
        <v>0</v>
      </c>
      <c r="L4" s="10">
        <v>80</v>
      </c>
      <c r="M4" s="10">
        <v>15</v>
      </c>
      <c r="N4" s="11">
        <f t="shared" si="0"/>
        <v>100</v>
      </c>
      <c r="O4" s="11">
        <f t="shared" si="1"/>
        <v>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>
        <v>15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2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>
        <v>60</v>
      </c>
      <c r="BT4" s="10">
        <v>5</v>
      </c>
      <c r="BU4" s="10"/>
      <c r="BV4" s="10"/>
      <c r="BW4" s="10"/>
    </row>
    <row r="5" spans="1:75" x14ac:dyDescent="0.2">
      <c r="A5" t="s">
        <v>69</v>
      </c>
      <c r="B5" t="s">
        <v>74</v>
      </c>
      <c r="C5" s="10" t="s">
        <v>72</v>
      </c>
      <c r="D5" s="10">
        <v>2</v>
      </c>
      <c r="E5" s="10">
        <v>1</v>
      </c>
      <c r="F5">
        <v>2020</v>
      </c>
      <c r="G5" s="10">
        <v>7.5</v>
      </c>
      <c r="H5" s="10">
        <v>33</v>
      </c>
      <c r="I5" s="10">
        <v>10</v>
      </c>
      <c r="J5" s="10">
        <v>5</v>
      </c>
      <c r="K5" s="10">
        <v>5</v>
      </c>
      <c r="L5" s="10">
        <v>37</v>
      </c>
      <c r="M5" s="10">
        <v>43</v>
      </c>
      <c r="N5" s="11">
        <f t="shared" si="0"/>
        <v>100</v>
      </c>
      <c r="O5" s="11">
        <f t="shared" si="1"/>
        <v>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>
        <v>4</v>
      </c>
      <c r="AO5" s="10"/>
      <c r="AP5" s="10"/>
      <c r="AQ5" s="10">
        <v>3</v>
      </c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2"/>
      <c r="BG5" s="10"/>
      <c r="BH5" s="10"/>
      <c r="BI5" s="10"/>
      <c r="BJ5" s="10"/>
      <c r="BK5" s="10"/>
      <c r="BL5" s="10"/>
      <c r="BM5" s="10"/>
      <c r="BN5" s="10"/>
      <c r="BO5" s="10"/>
      <c r="BP5" s="10">
        <v>1</v>
      </c>
      <c r="BQ5" s="10"/>
      <c r="BR5" s="10"/>
      <c r="BS5" s="10">
        <v>25</v>
      </c>
      <c r="BT5" s="10">
        <v>4</v>
      </c>
      <c r="BU5" s="10"/>
      <c r="BV5" s="10"/>
      <c r="BW5" s="10"/>
    </row>
    <row r="6" spans="1:75" x14ac:dyDescent="0.2">
      <c r="A6" t="s">
        <v>69</v>
      </c>
      <c r="B6" t="s">
        <v>74</v>
      </c>
      <c r="C6" s="10" t="s">
        <v>72</v>
      </c>
      <c r="D6" s="10">
        <v>2</v>
      </c>
      <c r="E6" s="10">
        <v>2</v>
      </c>
      <c r="F6">
        <v>2020</v>
      </c>
      <c r="G6" s="10">
        <v>14</v>
      </c>
      <c r="H6" s="10">
        <v>22</v>
      </c>
      <c r="I6" s="10">
        <v>15</v>
      </c>
      <c r="J6" s="10">
        <v>5</v>
      </c>
      <c r="K6" s="10">
        <v>0</v>
      </c>
      <c r="L6" s="10">
        <v>30</v>
      </c>
      <c r="M6" s="10">
        <v>50</v>
      </c>
      <c r="N6" s="11">
        <f t="shared" si="0"/>
        <v>100</v>
      </c>
      <c r="O6" s="11">
        <f t="shared" si="1"/>
        <v>2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</v>
      </c>
      <c r="AA6" s="10"/>
      <c r="AB6" s="10"/>
      <c r="AC6" s="10"/>
      <c r="AD6" s="10">
        <v>10</v>
      </c>
      <c r="AE6" s="10">
        <v>3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>
        <v>2</v>
      </c>
      <c r="AQ6" s="10"/>
      <c r="AR6" s="10"/>
      <c r="AS6" s="10"/>
      <c r="AT6" s="10"/>
      <c r="AU6" s="10"/>
      <c r="AV6" s="10">
        <v>3</v>
      </c>
      <c r="AW6" s="10"/>
      <c r="AX6" s="10"/>
      <c r="AY6" s="10"/>
      <c r="AZ6" s="10">
        <v>1</v>
      </c>
      <c r="BA6" s="10">
        <v>2</v>
      </c>
      <c r="BB6" s="10"/>
      <c r="BC6" s="10"/>
      <c r="BD6" s="10"/>
      <c r="BE6" s="10"/>
      <c r="BF6" s="12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>
        <v>5</v>
      </c>
      <c r="BT6" s="10">
        <v>5</v>
      </c>
      <c r="BU6" s="10"/>
      <c r="BV6" s="10"/>
      <c r="BW6" s="10"/>
    </row>
    <row r="7" spans="1:75" x14ac:dyDescent="0.2">
      <c r="A7" t="s">
        <v>69</v>
      </c>
      <c r="B7" t="s">
        <v>74</v>
      </c>
      <c r="C7" s="10" t="s">
        <v>72</v>
      </c>
      <c r="D7" s="10">
        <v>2</v>
      </c>
      <c r="E7" s="10">
        <v>3</v>
      </c>
      <c r="F7">
        <v>2020</v>
      </c>
      <c r="G7" s="10">
        <v>21</v>
      </c>
      <c r="H7" s="10">
        <v>19</v>
      </c>
      <c r="I7" s="10">
        <v>0</v>
      </c>
      <c r="J7" s="10">
        <v>0</v>
      </c>
      <c r="K7" s="10">
        <v>1</v>
      </c>
      <c r="L7" s="10">
        <v>45</v>
      </c>
      <c r="M7" s="10">
        <v>54</v>
      </c>
      <c r="N7" s="11">
        <f t="shared" si="0"/>
        <v>100</v>
      </c>
      <c r="O7" s="11">
        <f t="shared" si="1"/>
        <v>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>
        <v>10</v>
      </c>
      <c r="AE7" s="10">
        <v>2</v>
      </c>
      <c r="AF7" s="10"/>
      <c r="AG7" s="10"/>
      <c r="AH7" s="10"/>
      <c r="AI7" s="10">
        <v>30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>
        <v>1</v>
      </c>
      <c r="AU7" s="10">
        <v>1</v>
      </c>
      <c r="AV7" s="10"/>
      <c r="AW7" s="10"/>
      <c r="AX7" s="10"/>
      <c r="AY7" s="10"/>
      <c r="AZ7" s="10">
        <v>1</v>
      </c>
      <c r="BA7" s="10"/>
      <c r="BB7" s="10"/>
      <c r="BC7" s="10"/>
      <c r="BD7" s="10"/>
      <c r="BE7" s="10"/>
      <c r="BF7" s="12"/>
      <c r="BG7" s="10"/>
      <c r="BH7" s="10"/>
      <c r="BI7" s="10"/>
      <c r="BJ7" s="10"/>
      <c r="BK7" s="10"/>
      <c r="BL7" s="10"/>
      <c r="BM7" s="10"/>
      <c r="BN7" s="10"/>
      <c r="BO7" s="10"/>
      <c r="BP7" s="10">
        <v>1</v>
      </c>
      <c r="BQ7" s="10"/>
      <c r="BR7" s="10"/>
      <c r="BS7" s="10"/>
      <c r="BT7" s="10"/>
      <c r="BU7" s="10"/>
      <c r="BV7" s="10"/>
      <c r="BW7" s="10"/>
    </row>
    <row r="8" spans="1:75" x14ac:dyDescent="0.2">
      <c r="A8" t="s">
        <v>69</v>
      </c>
      <c r="B8" t="s">
        <v>74</v>
      </c>
      <c r="C8" s="10" t="s">
        <v>72</v>
      </c>
      <c r="D8" s="10">
        <v>3</v>
      </c>
      <c r="E8" s="10">
        <v>1</v>
      </c>
      <c r="F8">
        <v>2020</v>
      </c>
      <c r="G8" s="10">
        <v>7</v>
      </c>
      <c r="H8" s="10">
        <v>26</v>
      </c>
      <c r="I8" s="10">
        <v>0</v>
      </c>
      <c r="J8" s="10">
        <v>2</v>
      </c>
      <c r="K8" s="10">
        <v>2</v>
      </c>
      <c r="L8" s="10">
        <v>64</v>
      </c>
      <c r="M8" s="10">
        <v>32</v>
      </c>
      <c r="N8" s="11">
        <f t="shared" si="0"/>
        <v>100</v>
      </c>
      <c r="O8" s="11">
        <f t="shared" si="1"/>
        <v>1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>
        <v>10</v>
      </c>
      <c r="AA8" s="10"/>
      <c r="AB8" s="10"/>
      <c r="AC8" s="10">
        <v>5</v>
      </c>
      <c r="AD8" s="10"/>
      <c r="AE8" s="10">
        <v>3</v>
      </c>
      <c r="AF8" s="10"/>
      <c r="AG8" s="10"/>
      <c r="AH8" s="10"/>
      <c r="AI8" s="10"/>
      <c r="AJ8" s="10"/>
      <c r="AK8" s="10"/>
      <c r="AL8" s="10"/>
      <c r="AM8" s="10"/>
      <c r="AN8" s="10"/>
      <c r="AO8" s="10">
        <v>1</v>
      </c>
      <c r="AP8" s="10">
        <v>15</v>
      </c>
      <c r="AQ8" s="10"/>
      <c r="AR8" s="10">
        <v>5</v>
      </c>
      <c r="AS8" s="10"/>
      <c r="AT8" s="10"/>
      <c r="AU8" s="10">
        <v>5</v>
      </c>
      <c r="AV8" s="10"/>
      <c r="AW8" s="10"/>
      <c r="AX8" s="10">
        <v>5</v>
      </c>
      <c r="AY8" s="10"/>
      <c r="AZ8" s="10">
        <v>5</v>
      </c>
      <c r="BA8" s="10"/>
      <c r="BB8" s="10"/>
      <c r="BC8" s="10"/>
      <c r="BD8" s="10"/>
      <c r="BE8" s="10"/>
      <c r="BF8" s="12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>
        <v>1</v>
      </c>
      <c r="BS8" s="10"/>
      <c r="BT8" s="10">
        <v>10</v>
      </c>
      <c r="BU8" s="10"/>
      <c r="BV8" s="10"/>
      <c r="BW8" s="10"/>
    </row>
    <row r="9" spans="1:75" x14ac:dyDescent="0.2">
      <c r="A9" t="s">
        <v>69</v>
      </c>
      <c r="B9" t="s">
        <v>74</v>
      </c>
      <c r="C9" s="10" t="s">
        <v>72</v>
      </c>
      <c r="D9" s="10">
        <v>3</v>
      </c>
      <c r="E9" s="10">
        <v>2</v>
      </c>
      <c r="F9">
        <v>2020</v>
      </c>
      <c r="G9" s="10">
        <v>14</v>
      </c>
      <c r="H9" s="10">
        <v>34</v>
      </c>
      <c r="I9" s="10">
        <v>0</v>
      </c>
      <c r="J9" s="10">
        <v>0</v>
      </c>
      <c r="K9" s="10">
        <v>0</v>
      </c>
      <c r="L9" s="10">
        <v>95.5</v>
      </c>
      <c r="M9" s="10">
        <v>4.5</v>
      </c>
      <c r="N9" s="11">
        <f t="shared" si="0"/>
        <v>100</v>
      </c>
      <c r="O9" s="11">
        <f t="shared" si="1"/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>
        <v>0.5</v>
      </c>
      <c r="AF9" s="10"/>
      <c r="AG9" s="10"/>
      <c r="AH9" s="10"/>
      <c r="AI9" s="10"/>
      <c r="AJ9" s="10"/>
      <c r="AK9" s="10"/>
      <c r="AL9" s="10"/>
      <c r="AM9" s="10"/>
      <c r="AN9" s="10">
        <v>1</v>
      </c>
      <c r="AO9" s="10"/>
      <c r="AP9" s="10">
        <v>10</v>
      </c>
      <c r="AQ9" s="10">
        <v>2</v>
      </c>
      <c r="AR9" s="10"/>
      <c r="AS9" s="10"/>
      <c r="AT9" s="10"/>
      <c r="AU9" s="10"/>
      <c r="AV9" s="10"/>
      <c r="AW9" s="10"/>
      <c r="AX9" s="10"/>
      <c r="AY9" s="10"/>
      <c r="AZ9" s="10">
        <v>1</v>
      </c>
      <c r="BA9" s="10"/>
      <c r="BB9" s="10"/>
      <c r="BC9" s="10"/>
      <c r="BD9" s="10"/>
      <c r="BE9" s="10"/>
      <c r="BF9" s="12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>
        <v>80</v>
      </c>
      <c r="BT9" s="10"/>
      <c r="BU9" s="10"/>
      <c r="BV9" s="10"/>
      <c r="BW9" s="10"/>
    </row>
    <row r="10" spans="1:75" x14ac:dyDescent="0.2">
      <c r="A10" t="s">
        <v>69</v>
      </c>
      <c r="B10" t="s">
        <v>74</v>
      </c>
      <c r="C10" s="10" t="s">
        <v>72</v>
      </c>
      <c r="D10" s="10">
        <v>3</v>
      </c>
      <c r="E10" s="10">
        <v>3</v>
      </c>
      <c r="F10">
        <v>2020</v>
      </c>
      <c r="G10" s="10">
        <v>21</v>
      </c>
      <c r="H10" s="10">
        <v>30</v>
      </c>
      <c r="I10" s="10">
        <v>0</v>
      </c>
      <c r="J10" s="10">
        <v>0</v>
      </c>
      <c r="K10" s="10">
        <v>0</v>
      </c>
      <c r="L10" s="10">
        <v>100</v>
      </c>
      <c r="M10" s="10">
        <v>0</v>
      </c>
      <c r="N10" s="11">
        <f t="shared" si="0"/>
        <v>100</v>
      </c>
      <c r="O10" s="11">
        <f t="shared" si="1"/>
        <v>-9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2</v>
      </c>
      <c r="AA10" s="10"/>
      <c r="AB10" s="10"/>
      <c r="AC10" s="10"/>
      <c r="AD10" s="10">
        <v>50</v>
      </c>
      <c r="AE10" s="10">
        <v>2</v>
      </c>
      <c r="AF10" s="10"/>
      <c r="AG10" s="10"/>
      <c r="AH10" s="10"/>
      <c r="AI10" s="10"/>
      <c r="AJ10" s="10"/>
      <c r="AK10" s="10"/>
      <c r="AL10" s="10"/>
      <c r="AM10" s="10"/>
      <c r="AN10" s="10">
        <v>2</v>
      </c>
      <c r="AO10" s="10"/>
      <c r="AP10" s="10">
        <v>10</v>
      </c>
      <c r="AQ10" s="10"/>
      <c r="AR10" s="10"/>
      <c r="AS10" s="10"/>
      <c r="AT10" s="10"/>
      <c r="AU10" s="10"/>
      <c r="AV10" s="10">
        <v>2</v>
      </c>
      <c r="AW10" s="10"/>
      <c r="AX10" s="10"/>
      <c r="AY10" s="10"/>
      <c r="AZ10" s="10">
        <v>2</v>
      </c>
      <c r="BA10" s="10"/>
      <c r="BB10" s="10"/>
      <c r="BC10" s="10"/>
      <c r="BD10" s="10"/>
      <c r="BE10" s="10"/>
      <c r="BF10" s="12"/>
      <c r="BG10" s="10"/>
      <c r="BH10" s="10"/>
      <c r="BI10" s="10"/>
      <c r="BJ10" s="10"/>
      <c r="BK10" s="10"/>
      <c r="BL10" s="10"/>
      <c r="BM10" s="10"/>
      <c r="BN10" s="10">
        <v>5</v>
      </c>
      <c r="BO10" s="10"/>
      <c r="BP10" s="10">
        <v>1</v>
      </c>
      <c r="BQ10" s="10"/>
      <c r="BR10" s="10"/>
      <c r="BS10" s="10">
        <v>10</v>
      </c>
      <c r="BT10" s="10">
        <v>5</v>
      </c>
      <c r="BU10" s="10"/>
      <c r="BV10" s="13"/>
      <c r="BW10" s="10"/>
    </row>
    <row r="11" spans="1:75" x14ac:dyDescent="0.2">
      <c r="A11" t="s">
        <v>69</v>
      </c>
      <c r="B11" t="s">
        <v>74</v>
      </c>
      <c r="C11" s="10" t="s">
        <v>72</v>
      </c>
      <c r="D11" s="10">
        <v>4</v>
      </c>
      <c r="E11" s="10">
        <v>1</v>
      </c>
      <c r="F11">
        <v>2020</v>
      </c>
      <c r="G11" s="10">
        <v>7</v>
      </c>
      <c r="H11" s="10">
        <v>34</v>
      </c>
      <c r="I11" s="10">
        <v>10</v>
      </c>
      <c r="J11" s="10">
        <v>0</v>
      </c>
      <c r="K11" s="10">
        <v>0</v>
      </c>
      <c r="L11" s="10">
        <v>100</v>
      </c>
      <c r="M11" s="10">
        <v>0</v>
      </c>
      <c r="N11" s="11">
        <f t="shared" si="0"/>
        <v>110</v>
      </c>
      <c r="O11" s="11">
        <f t="shared" si="1"/>
        <v>6</v>
      </c>
      <c r="P11" s="10"/>
      <c r="Q11" s="10"/>
      <c r="R11" s="10"/>
      <c r="S11" s="10"/>
      <c r="T11" s="10"/>
      <c r="U11" s="10">
        <v>3</v>
      </c>
      <c r="V11" s="10"/>
      <c r="W11" s="10"/>
      <c r="X11" s="10"/>
      <c r="Y11" s="14">
        <v>5</v>
      </c>
      <c r="Z11" s="10"/>
      <c r="AA11" s="10"/>
      <c r="AB11" s="10"/>
      <c r="AC11" s="10"/>
      <c r="AD11" s="10">
        <v>74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>
        <v>10</v>
      </c>
      <c r="AQ11" s="10"/>
      <c r="AR11" s="10"/>
      <c r="AS11" s="10">
        <v>1</v>
      </c>
      <c r="AT11" s="10"/>
      <c r="AU11" s="10"/>
      <c r="AV11" s="10"/>
      <c r="AW11" s="10"/>
      <c r="AX11" s="10"/>
      <c r="AY11" s="10"/>
      <c r="AZ11" s="10"/>
      <c r="BA11" s="10"/>
      <c r="BB11" s="14">
        <v>1</v>
      </c>
      <c r="BC11" s="10"/>
      <c r="BD11" s="10"/>
      <c r="BE11" s="10"/>
      <c r="BF11" s="12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>
        <v>2</v>
      </c>
      <c r="BU11" s="10"/>
      <c r="BV11" s="14">
        <v>10</v>
      </c>
      <c r="BW11" s="10"/>
    </row>
    <row r="12" spans="1:75" x14ac:dyDescent="0.2">
      <c r="A12" t="s">
        <v>69</v>
      </c>
      <c r="B12" t="s">
        <v>74</v>
      </c>
      <c r="C12" s="10" t="s">
        <v>72</v>
      </c>
      <c r="D12" s="10">
        <v>4</v>
      </c>
      <c r="E12" s="10">
        <v>2</v>
      </c>
      <c r="F12">
        <v>2020</v>
      </c>
      <c r="G12" s="10">
        <v>14</v>
      </c>
      <c r="H12" s="10">
        <v>35</v>
      </c>
      <c r="I12" s="10">
        <v>0</v>
      </c>
      <c r="J12" s="10">
        <v>0</v>
      </c>
      <c r="K12" s="10">
        <v>0</v>
      </c>
      <c r="L12" s="10">
        <v>30</v>
      </c>
      <c r="M12" s="10">
        <v>70</v>
      </c>
      <c r="N12" s="11">
        <f t="shared" si="0"/>
        <v>100</v>
      </c>
      <c r="O12" s="11">
        <f t="shared" si="1"/>
        <v>10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3">
        <v>20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>
        <v>1</v>
      </c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2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>
        <v>1</v>
      </c>
      <c r="BR12" s="10"/>
      <c r="BS12" s="10">
        <v>3</v>
      </c>
      <c r="BT12" s="10">
        <v>5</v>
      </c>
      <c r="BU12" s="10"/>
      <c r="BV12" s="14">
        <v>10</v>
      </c>
      <c r="BW12" s="10"/>
    </row>
    <row r="13" spans="1:75" x14ac:dyDescent="0.2">
      <c r="A13" t="s">
        <v>69</v>
      </c>
      <c r="B13" t="s">
        <v>74</v>
      </c>
      <c r="C13" s="10" t="s">
        <v>72</v>
      </c>
      <c r="D13" s="10">
        <v>4</v>
      </c>
      <c r="E13" s="10">
        <v>3</v>
      </c>
      <c r="F13">
        <v>2020</v>
      </c>
      <c r="G13" s="10">
        <v>21</v>
      </c>
      <c r="H13" s="12">
        <v>50</v>
      </c>
      <c r="I13" s="10">
        <v>20</v>
      </c>
      <c r="J13" s="10">
        <v>0</v>
      </c>
      <c r="K13" s="10">
        <v>0</v>
      </c>
      <c r="L13" s="10">
        <v>55</v>
      </c>
      <c r="M13" s="10">
        <v>45</v>
      </c>
      <c r="N13" s="11">
        <f t="shared" si="0"/>
        <v>120</v>
      </c>
      <c r="O13" s="11">
        <f t="shared" si="1"/>
        <v>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>
        <v>2</v>
      </c>
      <c r="AD13" s="10">
        <v>30</v>
      </c>
      <c r="AE13" s="10">
        <v>2</v>
      </c>
      <c r="AF13" s="10"/>
      <c r="AG13" s="10"/>
      <c r="AH13" s="10"/>
      <c r="AI13" s="10"/>
      <c r="AJ13" s="10"/>
      <c r="AK13" s="10"/>
      <c r="AL13" s="10"/>
      <c r="AM13" s="10"/>
      <c r="AN13" s="10">
        <v>5</v>
      </c>
      <c r="AO13" s="10"/>
      <c r="AP13" s="10">
        <v>5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>
        <v>1</v>
      </c>
      <c r="BA13" s="10"/>
      <c r="BB13" s="10"/>
      <c r="BC13" s="10"/>
      <c r="BD13" s="10"/>
      <c r="BE13" s="10"/>
      <c r="BF13" s="12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>
        <v>10</v>
      </c>
      <c r="BU13" s="10"/>
      <c r="BV13" s="10"/>
      <c r="BW13" s="10"/>
    </row>
    <row r="14" spans="1:75" x14ac:dyDescent="0.2">
      <c r="A14" t="s">
        <v>69</v>
      </c>
      <c r="B14" t="s">
        <v>74</v>
      </c>
      <c r="C14" s="10" t="s">
        <v>72</v>
      </c>
      <c r="D14" s="10">
        <v>5</v>
      </c>
      <c r="E14" s="10">
        <v>1</v>
      </c>
      <c r="F14">
        <v>2020</v>
      </c>
      <c r="G14" s="10">
        <v>7</v>
      </c>
      <c r="H14" s="10">
        <v>30</v>
      </c>
      <c r="I14" s="10">
        <v>30</v>
      </c>
      <c r="J14" s="10">
        <v>0</v>
      </c>
      <c r="K14" s="10">
        <v>1</v>
      </c>
      <c r="L14" s="10">
        <v>65</v>
      </c>
      <c r="M14" s="10">
        <v>5</v>
      </c>
      <c r="N14" s="11">
        <f t="shared" si="0"/>
        <v>101</v>
      </c>
      <c r="O14" s="11">
        <f t="shared" si="1"/>
        <v>0</v>
      </c>
      <c r="P14" s="10"/>
      <c r="Q14" s="10"/>
      <c r="R14" s="10"/>
      <c r="S14" s="10"/>
      <c r="T14" s="10"/>
      <c r="U14" s="10"/>
      <c r="V14" s="10"/>
      <c r="W14" s="10"/>
      <c r="X14" s="10"/>
      <c r="Y14" s="10">
        <v>4</v>
      </c>
      <c r="Z14" s="10">
        <v>1</v>
      </c>
      <c r="AA14" s="10"/>
      <c r="AB14" s="10"/>
      <c r="AC14" s="10"/>
      <c r="AD14" s="10">
        <v>5</v>
      </c>
      <c r="AE14" s="10"/>
      <c r="AF14" s="10">
        <v>1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>
        <v>1</v>
      </c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>
        <v>1</v>
      </c>
      <c r="BB14" s="10"/>
      <c r="BC14" s="10"/>
      <c r="BD14" s="10"/>
      <c r="BE14" s="12">
        <v>2</v>
      </c>
      <c r="BF14" s="12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>
        <v>45</v>
      </c>
      <c r="BT14" s="10">
        <v>5</v>
      </c>
      <c r="BU14" s="10"/>
      <c r="BV14" s="10"/>
      <c r="BW14" s="10"/>
    </row>
    <row r="15" spans="1:75" x14ac:dyDescent="0.2">
      <c r="A15" t="s">
        <v>69</v>
      </c>
      <c r="B15" t="s">
        <v>74</v>
      </c>
      <c r="C15" s="10" t="s">
        <v>72</v>
      </c>
      <c r="D15" s="10">
        <v>5</v>
      </c>
      <c r="E15" s="10">
        <v>2</v>
      </c>
      <c r="F15">
        <v>2020</v>
      </c>
      <c r="G15" s="10">
        <v>15</v>
      </c>
      <c r="H15" s="10">
        <v>38</v>
      </c>
      <c r="I15" s="10">
        <v>20</v>
      </c>
      <c r="J15" s="10">
        <v>0</v>
      </c>
      <c r="K15" s="10">
        <v>2</v>
      </c>
      <c r="L15" s="10">
        <v>43</v>
      </c>
      <c r="M15" s="10">
        <v>35</v>
      </c>
      <c r="N15" s="11">
        <f t="shared" si="0"/>
        <v>100</v>
      </c>
      <c r="O15" s="11">
        <f t="shared" si="1"/>
        <v>-5</v>
      </c>
      <c r="P15" s="10"/>
      <c r="Q15" s="10"/>
      <c r="R15" s="10"/>
      <c r="S15" s="10"/>
      <c r="T15" s="10"/>
      <c r="U15" s="10"/>
      <c r="V15" s="10"/>
      <c r="W15" s="10"/>
      <c r="X15" s="10"/>
      <c r="Y15" s="10">
        <v>5</v>
      </c>
      <c r="Z15" s="10"/>
      <c r="AA15" s="10"/>
      <c r="AB15" s="10"/>
      <c r="AC15" s="10"/>
      <c r="AD15" s="10">
        <v>5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>
        <v>5</v>
      </c>
      <c r="AQ15" s="10"/>
      <c r="AR15" s="10"/>
      <c r="AS15" s="10">
        <v>3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2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>
        <v>10</v>
      </c>
      <c r="BT15" s="10">
        <v>5</v>
      </c>
      <c r="BU15" s="10"/>
      <c r="BV15" s="10">
        <v>5</v>
      </c>
      <c r="BW15" s="10"/>
    </row>
    <row r="16" spans="1:75" x14ac:dyDescent="0.2">
      <c r="A16" t="s">
        <v>69</v>
      </c>
      <c r="B16" t="s">
        <v>74</v>
      </c>
      <c r="C16" s="10" t="s">
        <v>72</v>
      </c>
      <c r="D16" s="10">
        <v>5</v>
      </c>
      <c r="E16" s="10">
        <v>3</v>
      </c>
      <c r="F16">
        <v>2020</v>
      </c>
      <c r="G16" s="10">
        <v>22</v>
      </c>
      <c r="H16" s="10">
        <v>28</v>
      </c>
      <c r="I16" s="10">
        <v>5</v>
      </c>
      <c r="J16" s="10">
        <v>5</v>
      </c>
      <c r="K16" s="10">
        <v>0</v>
      </c>
      <c r="L16" s="10">
        <v>40</v>
      </c>
      <c r="M16" s="10">
        <v>50</v>
      </c>
      <c r="N16" s="11">
        <f t="shared" si="0"/>
        <v>100</v>
      </c>
      <c r="O16" s="11">
        <f t="shared" si="1"/>
        <v>0</v>
      </c>
      <c r="P16" s="10"/>
      <c r="Q16" s="10"/>
      <c r="R16" s="10"/>
      <c r="S16" s="10"/>
      <c r="T16" s="10"/>
      <c r="U16" s="10"/>
      <c r="V16" s="10"/>
      <c r="W16" s="10"/>
      <c r="X16" s="10"/>
      <c r="Y16" s="10">
        <v>5</v>
      </c>
      <c r="Z16" s="10"/>
      <c r="AA16" s="10"/>
      <c r="AB16" s="10"/>
      <c r="AC16" s="10"/>
      <c r="AD16" s="10"/>
      <c r="AE16" s="10">
        <v>2</v>
      </c>
      <c r="AF16" s="10"/>
      <c r="AG16" s="10"/>
      <c r="AH16" s="10"/>
      <c r="AI16" s="10">
        <v>1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>
        <v>1</v>
      </c>
      <c r="AT16" s="10"/>
      <c r="AU16" s="10"/>
      <c r="AV16" s="10"/>
      <c r="AW16" s="10"/>
      <c r="AX16" s="10"/>
      <c r="AY16" s="10"/>
      <c r="AZ16" s="10">
        <v>1</v>
      </c>
      <c r="BA16" s="10"/>
      <c r="BB16" s="10"/>
      <c r="BC16" s="10"/>
      <c r="BD16" s="10"/>
      <c r="BE16" s="10"/>
      <c r="BF16" s="12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>
        <v>20</v>
      </c>
      <c r="BT16" s="10">
        <v>5</v>
      </c>
      <c r="BU16" s="10"/>
      <c r="BV16" s="10">
        <v>5</v>
      </c>
      <c r="BW16" s="10"/>
    </row>
    <row r="17" spans="1:75" x14ac:dyDescent="0.2">
      <c r="A17" t="s">
        <v>69</v>
      </c>
      <c r="B17" t="s">
        <v>74</v>
      </c>
      <c r="C17" s="10" t="s">
        <v>72</v>
      </c>
      <c r="D17" s="10">
        <v>6</v>
      </c>
      <c r="E17" s="10">
        <v>1</v>
      </c>
      <c r="F17">
        <v>2020</v>
      </c>
      <c r="G17" s="10">
        <v>6.8</v>
      </c>
      <c r="H17" s="10">
        <v>27</v>
      </c>
      <c r="I17" s="10">
        <v>0</v>
      </c>
      <c r="J17" s="10">
        <v>0</v>
      </c>
      <c r="K17" s="10">
        <v>0</v>
      </c>
      <c r="L17" s="10">
        <v>60</v>
      </c>
      <c r="M17" s="10">
        <v>40</v>
      </c>
      <c r="N17" s="11">
        <f t="shared" si="0"/>
        <v>100</v>
      </c>
      <c r="O17" s="11">
        <f t="shared" si="1"/>
        <v>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2"/>
      <c r="BG17" s="10"/>
      <c r="BH17" s="10"/>
      <c r="BI17" s="10"/>
      <c r="BJ17" s="10"/>
      <c r="BK17" s="10"/>
      <c r="BL17" s="10">
        <v>2</v>
      </c>
      <c r="BM17" s="10"/>
      <c r="BN17" s="10"/>
      <c r="BO17" s="10"/>
      <c r="BP17" s="10"/>
      <c r="BQ17" s="10"/>
      <c r="BR17" s="10"/>
      <c r="BS17" s="10">
        <v>53</v>
      </c>
      <c r="BT17" s="10">
        <v>5</v>
      </c>
      <c r="BU17" s="10"/>
      <c r="BV17" s="10"/>
      <c r="BW17" s="10"/>
    </row>
    <row r="18" spans="1:75" x14ac:dyDescent="0.2">
      <c r="A18" t="s">
        <v>69</v>
      </c>
      <c r="B18" t="s">
        <v>74</v>
      </c>
      <c r="C18" s="10" t="s">
        <v>72</v>
      </c>
      <c r="D18" s="10">
        <v>6</v>
      </c>
      <c r="E18" s="10">
        <v>2</v>
      </c>
      <c r="F18">
        <v>2020</v>
      </c>
      <c r="G18" s="10">
        <v>7</v>
      </c>
      <c r="H18" s="10">
        <v>17</v>
      </c>
      <c r="I18" s="10">
        <v>30</v>
      </c>
      <c r="J18" s="10">
        <v>0</v>
      </c>
      <c r="K18" s="10">
        <v>0</v>
      </c>
      <c r="L18" s="10">
        <v>21</v>
      </c>
      <c r="M18" s="10">
        <v>49</v>
      </c>
      <c r="N18" s="11">
        <f t="shared" si="0"/>
        <v>100</v>
      </c>
      <c r="O18" s="11">
        <f t="shared" si="1"/>
        <v>1</v>
      </c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>
        <v>20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2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</row>
    <row r="19" spans="1:75" x14ac:dyDescent="0.2">
      <c r="A19" t="s">
        <v>69</v>
      </c>
      <c r="B19" t="s">
        <v>74</v>
      </c>
      <c r="C19" s="10" t="s">
        <v>72</v>
      </c>
      <c r="D19" s="10">
        <v>6</v>
      </c>
      <c r="E19" s="10">
        <v>3</v>
      </c>
      <c r="F19">
        <v>2020</v>
      </c>
      <c r="G19" s="10">
        <v>21</v>
      </c>
      <c r="H19" s="12">
        <v>20</v>
      </c>
      <c r="I19" s="10">
        <v>20</v>
      </c>
      <c r="J19" s="10">
        <v>0</v>
      </c>
      <c r="K19" s="10">
        <v>0</v>
      </c>
      <c r="L19" s="10">
        <v>18</v>
      </c>
      <c r="M19" s="12">
        <v>72</v>
      </c>
      <c r="N19" s="11">
        <f t="shared" si="0"/>
        <v>110</v>
      </c>
      <c r="O19" s="11">
        <f t="shared" si="1"/>
        <v>4</v>
      </c>
      <c r="P19" s="10"/>
      <c r="Q19" s="10"/>
      <c r="R19" s="10"/>
      <c r="S19" s="10">
        <v>1</v>
      </c>
      <c r="T19" s="10"/>
      <c r="U19" s="10"/>
      <c r="V19" s="10"/>
      <c r="W19" s="10">
        <v>1</v>
      </c>
      <c r="X19" s="10"/>
      <c r="Y19" s="10"/>
      <c r="Z19" s="10"/>
      <c r="AA19" s="10"/>
      <c r="AB19" s="10"/>
      <c r="AC19" s="10"/>
      <c r="AD19" s="10">
        <v>10</v>
      </c>
      <c r="AE19" s="10">
        <v>1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2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2"/>
      <c r="BG19" s="10"/>
      <c r="BH19" s="10"/>
      <c r="BI19" s="10"/>
      <c r="BJ19" s="10"/>
      <c r="BK19" s="10"/>
      <c r="BL19" s="10">
        <v>2</v>
      </c>
      <c r="BM19" s="10"/>
      <c r="BN19" s="10"/>
      <c r="BO19" s="10">
        <v>2</v>
      </c>
      <c r="BP19" s="10"/>
      <c r="BQ19" s="10"/>
      <c r="BR19" s="10"/>
      <c r="BS19" s="10">
        <v>5</v>
      </c>
      <c r="BT19" s="10"/>
      <c r="BU19" s="10"/>
      <c r="BV19" s="10"/>
      <c r="BW19" s="10"/>
    </row>
    <row r="20" spans="1:75" x14ac:dyDescent="0.2">
      <c r="A20" t="s">
        <v>69</v>
      </c>
      <c r="B20" t="s">
        <v>74</v>
      </c>
      <c r="C20" s="10" t="s">
        <v>72</v>
      </c>
      <c r="D20" s="10">
        <v>7</v>
      </c>
      <c r="E20" s="10">
        <v>1</v>
      </c>
      <c r="F20">
        <v>2020</v>
      </c>
      <c r="G20" s="10">
        <v>7</v>
      </c>
      <c r="H20" s="10">
        <v>38</v>
      </c>
      <c r="I20" s="10">
        <v>20</v>
      </c>
      <c r="J20" s="10">
        <v>0</v>
      </c>
      <c r="K20" s="10">
        <v>0</v>
      </c>
      <c r="L20" s="10">
        <v>61</v>
      </c>
      <c r="M20" s="10">
        <v>19</v>
      </c>
      <c r="N20" s="11">
        <f t="shared" si="0"/>
        <v>100</v>
      </c>
      <c r="O20" s="11">
        <f t="shared" si="1"/>
        <v>2</v>
      </c>
      <c r="P20" s="10">
        <v>2</v>
      </c>
      <c r="Q20" s="10"/>
      <c r="R20" s="10"/>
      <c r="S20" s="10"/>
      <c r="T20" s="10"/>
      <c r="U20" s="10"/>
      <c r="V20" s="10"/>
      <c r="W20" s="10"/>
      <c r="X20" s="10"/>
      <c r="Y20" s="10">
        <v>5</v>
      </c>
      <c r="Z20" s="10">
        <v>1</v>
      </c>
      <c r="AA20" s="10"/>
      <c r="AB20" s="10"/>
      <c r="AC20" s="10">
        <v>3</v>
      </c>
      <c r="AD20" s="10"/>
      <c r="AE20" s="10"/>
      <c r="AF20" s="10"/>
      <c r="AG20" s="10"/>
      <c r="AH20" s="10"/>
      <c r="AI20" s="10"/>
      <c r="AJ20" s="10"/>
      <c r="AK20" s="10">
        <v>1</v>
      </c>
      <c r="AL20" s="10"/>
      <c r="AM20" s="10">
        <v>4</v>
      </c>
      <c r="AN20" s="10">
        <v>3</v>
      </c>
      <c r="AO20" s="10"/>
      <c r="AP20" s="10"/>
      <c r="AQ20" s="10">
        <v>4</v>
      </c>
      <c r="AR20" s="10"/>
      <c r="AS20" s="10"/>
      <c r="AT20" s="10"/>
      <c r="AU20" s="10"/>
      <c r="AV20" s="10"/>
      <c r="AW20" s="10">
        <v>2</v>
      </c>
      <c r="AX20" s="10"/>
      <c r="AY20" s="10"/>
      <c r="AZ20" s="10"/>
      <c r="BA20" s="10"/>
      <c r="BB20" s="10"/>
      <c r="BC20" s="10"/>
      <c r="BD20" s="10">
        <v>1</v>
      </c>
      <c r="BE20" s="10"/>
      <c r="BF20" s="12">
        <v>2</v>
      </c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>
        <v>30</v>
      </c>
      <c r="BT20" s="10">
        <v>5</v>
      </c>
      <c r="BU20" s="10"/>
      <c r="BV20" s="10"/>
      <c r="BW20" s="10"/>
    </row>
    <row r="21" spans="1:75" ht="15.75" customHeight="1" x14ac:dyDescent="0.2">
      <c r="A21" t="s">
        <v>69</v>
      </c>
      <c r="B21" t="s">
        <v>74</v>
      </c>
      <c r="C21" s="10" t="s">
        <v>72</v>
      </c>
      <c r="D21" s="12">
        <v>7</v>
      </c>
      <c r="E21" s="12">
        <v>2</v>
      </c>
      <c r="F21">
        <v>2020</v>
      </c>
      <c r="G21" s="12">
        <v>16</v>
      </c>
      <c r="H21" s="12">
        <v>20</v>
      </c>
      <c r="I21" s="12">
        <v>10</v>
      </c>
      <c r="J21" s="12">
        <v>0</v>
      </c>
      <c r="K21" s="12">
        <v>0</v>
      </c>
      <c r="L21" s="12">
        <v>80</v>
      </c>
      <c r="M21" s="12">
        <v>10</v>
      </c>
      <c r="N21" s="11">
        <f t="shared" si="0"/>
        <v>100</v>
      </c>
      <c r="O21" s="11">
        <f t="shared" si="1"/>
        <v>1</v>
      </c>
      <c r="P21" s="12"/>
      <c r="Q21" s="12"/>
      <c r="R21" s="12"/>
      <c r="S21" s="12"/>
      <c r="T21" s="12"/>
      <c r="U21" s="12"/>
      <c r="V21" s="12"/>
      <c r="W21" s="12"/>
      <c r="X21" s="12"/>
      <c r="Y21" s="15">
        <v>5</v>
      </c>
      <c r="Z21" s="12"/>
      <c r="AA21" s="12"/>
      <c r="AB21" s="12"/>
      <c r="AC21" s="12"/>
      <c r="AD21" s="12">
        <v>20</v>
      </c>
      <c r="AE21" s="12"/>
      <c r="AF21" s="12"/>
      <c r="AG21" s="12">
        <v>3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>
        <v>1</v>
      </c>
      <c r="AX21" s="12"/>
      <c r="AY21" s="12"/>
      <c r="AZ21" s="12"/>
      <c r="BA21" s="12"/>
      <c r="BB21" s="12"/>
      <c r="BC21" s="12"/>
      <c r="BD21" s="12"/>
      <c r="BE21" s="12"/>
      <c r="BF21" s="12">
        <v>1</v>
      </c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>
        <v>50</v>
      </c>
      <c r="BT21" s="15">
        <v>1</v>
      </c>
      <c r="BU21" s="12"/>
      <c r="BV21" s="12"/>
      <c r="BW21" s="12"/>
    </row>
    <row r="22" spans="1:75" ht="15.75" customHeight="1" x14ac:dyDescent="0.2">
      <c r="A22" t="s">
        <v>69</v>
      </c>
      <c r="B22" t="s">
        <v>74</v>
      </c>
      <c r="C22" s="10" t="s">
        <v>72</v>
      </c>
      <c r="D22" s="10">
        <v>7</v>
      </c>
      <c r="E22" s="10">
        <v>3</v>
      </c>
      <c r="F22">
        <v>2020</v>
      </c>
      <c r="G22" s="10">
        <v>26</v>
      </c>
      <c r="H22" s="12">
        <v>50</v>
      </c>
      <c r="I22" s="10">
        <v>30</v>
      </c>
      <c r="J22" s="10">
        <v>0</v>
      </c>
      <c r="K22" s="10">
        <v>0</v>
      </c>
      <c r="L22" s="10">
        <v>35</v>
      </c>
      <c r="M22" s="10">
        <v>35</v>
      </c>
      <c r="N22" s="11">
        <f t="shared" si="0"/>
        <v>100</v>
      </c>
      <c r="O22" s="11">
        <f t="shared" si="1"/>
        <v>0</v>
      </c>
      <c r="P22" s="10"/>
      <c r="Q22" s="10"/>
      <c r="R22" s="10"/>
      <c r="S22" s="10"/>
      <c r="T22" s="10"/>
      <c r="U22" s="10"/>
      <c r="V22" s="10"/>
      <c r="W22" s="10"/>
      <c r="X22" s="10"/>
      <c r="Y22" s="13">
        <v>5</v>
      </c>
      <c r="Z22" s="10"/>
      <c r="AA22" s="10"/>
      <c r="AB22" s="10"/>
      <c r="AC22" s="10">
        <v>1</v>
      </c>
      <c r="AD22" s="10">
        <v>25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>
        <v>4</v>
      </c>
      <c r="BW22" s="10"/>
    </row>
    <row r="23" spans="1:75" ht="15.75" customHeight="1" x14ac:dyDescent="0.2">
      <c r="A23" t="s">
        <v>69</v>
      </c>
      <c r="B23" t="s">
        <v>74</v>
      </c>
      <c r="C23" s="10" t="s">
        <v>72</v>
      </c>
      <c r="D23" s="10">
        <v>8</v>
      </c>
      <c r="E23" s="10">
        <v>1</v>
      </c>
      <c r="F23">
        <v>2020</v>
      </c>
      <c r="G23" s="10">
        <v>7</v>
      </c>
      <c r="H23" s="10">
        <v>36</v>
      </c>
      <c r="I23" s="10">
        <v>15</v>
      </c>
      <c r="J23" s="10">
        <v>0</v>
      </c>
      <c r="K23" s="10">
        <v>0</v>
      </c>
      <c r="L23" s="10">
        <v>80</v>
      </c>
      <c r="M23" s="10">
        <v>5</v>
      </c>
      <c r="N23" s="11">
        <f t="shared" si="0"/>
        <v>100</v>
      </c>
      <c r="O23" s="11">
        <f t="shared" si="1"/>
        <v>0</v>
      </c>
      <c r="P23" s="10"/>
      <c r="Q23" s="10"/>
      <c r="R23" s="10"/>
      <c r="S23" s="10"/>
      <c r="T23" s="10">
        <v>5</v>
      </c>
      <c r="U23" s="10"/>
      <c r="V23" s="10"/>
      <c r="W23" s="10"/>
      <c r="X23" s="10"/>
      <c r="Y23" s="10"/>
      <c r="Z23" s="10">
        <v>1</v>
      </c>
      <c r="AA23" s="10"/>
      <c r="AB23" s="10"/>
      <c r="AC23" s="10">
        <v>5</v>
      </c>
      <c r="AD23" s="10">
        <v>30</v>
      </c>
      <c r="AE23" s="10">
        <v>3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>
        <v>10</v>
      </c>
      <c r="AQ23" s="10"/>
      <c r="AR23" s="10"/>
      <c r="AS23" s="10"/>
      <c r="AT23" s="10"/>
      <c r="AU23" s="10"/>
      <c r="AV23" s="10"/>
      <c r="AW23" s="10"/>
      <c r="AX23" s="10"/>
      <c r="AY23" s="10">
        <v>5</v>
      </c>
      <c r="AZ23" s="10"/>
      <c r="BA23" s="10"/>
      <c r="BB23" s="10"/>
      <c r="BC23" s="10"/>
      <c r="BD23" s="10"/>
      <c r="BE23" s="10"/>
      <c r="BF23" s="12"/>
      <c r="BG23" s="10"/>
      <c r="BH23" s="10"/>
      <c r="BI23" s="10"/>
      <c r="BJ23" s="10"/>
      <c r="BK23" s="10"/>
      <c r="BL23" s="10"/>
      <c r="BM23" s="10"/>
      <c r="BN23" s="10"/>
      <c r="BO23" s="10"/>
      <c r="BP23" s="10">
        <v>2</v>
      </c>
      <c r="BQ23" s="10"/>
      <c r="BR23" s="10">
        <v>1</v>
      </c>
      <c r="BS23" s="10">
        <v>15</v>
      </c>
      <c r="BT23" s="10"/>
      <c r="BU23" s="10"/>
      <c r="BV23" s="10"/>
      <c r="BW23" s="10">
        <v>3</v>
      </c>
    </row>
    <row r="24" spans="1:75" ht="15.75" customHeight="1" x14ac:dyDescent="0.2">
      <c r="A24" t="s">
        <v>69</v>
      </c>
      <c r="B24" t="s">
        <v>74</v>
      </c>
      <c r="C24" s="10" t="s">
        <v>72</v>
      </c>
      <c r="D24" s="10">
        <v>8</v>
      </c>
      <c r="E24" s="10">
        <v>2</v>
      </c>
      <c r="F24">
        <v>2020</v>
      </c>
      <c r="G24" s="10">
        <v>14</v>
      </c>
      <c r="H24" s="10">
        <v>28</v>
      </c>
      <c r="I24" s="10">
        <v>21</v>
      </c>
      <c r="J24" s="10">
        <v>5</v>
      </c>
      <c r="K24" s="10">
        <v>0</v>
      </c>
      <c r="L24" s="10">
        <v>39</v>
      </c>
      <c r="M24" s="10">
        <v>35</v>
      </c>
      <c r="N24" s="11">
        <f t="shared" si="0"/>
        <v>100</v>
      </c>
      <c r="O24" s="11">
        <f t="shared" si="1"/>
        <v>2</v>
      </c>
      <c r="P24" s="10"/>
      <c r="Q24" s="10"/>
      <c r="R24" s="10"/>
      <c r="S24" s="10"/>
      <c r="T24" s="10"/>
      <c r="U24" s="10"/>
      <c r="V24" s="10"/>
      <c r="W24" s="10"/>
      <c r="X24" s="10"/>
      <c r="Y24" s="13">
        <v>5</v>
      </c>
      <c r="Z24" s="10"/>
      <c r="AA24" s="10"/>
      <c r="AB24" s="10"/>
      <c r="AC24" s="10"/>
      <c r="AD24" s="10">
        <v>5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>
        <v>1</v>
      </c>
      <c r="AS24" s="10"/>
      <c r="AT24" s="10"/>
      <c r="AU24" s="10">
        <v>1</v>
      </c>
      <c r="AV24" s="10"/>
      <c r="AW24" s="10"/>
      <c r="AX24" s="10"/>
      <c r="AY24" s="10"/>
      <c r="AZ24" s="10"/>
      <c r="BA24" s="10"/>
      <c r="BB24" s="10"/>
      <c r="BC24" s="10"/>
      <c r="BD24" s="10"/>
      <c r="BE24" s="10">
        <v>2</v>
      </c>
      <c r="BF24" s="12"/>
      <c r="BG24" s="12">
        <v>1</v>
      </c>
      <c r="BH24" s="10"/>
      <c r="BI24" s="10"/>
      <c r="BJ24" s="10"/>
      <c r="BK24" s="10"/>
      <c r="BL24" s="10"/>
      <c r="BM24" s="10"/>
      <c r="BN24" s="10">
        <v>1</v>
      </c>
      <c r="BO24" s="10"/>
      <c r="BP24" s="10"/>
      <c r="BQ24" s="10"/>
      <c r="BR24" s="10"/>
      <c r="BS24" s="10">
        <v>20</v>
      </c>
      <c r="BT24" s="10">
        <v>5</v>
      </c>
      <c r="BU24" s="10"/>
      <c r="BV24" s="10"/>
      <c r="BW24" s="10"/>
    </row>
    <row r="25" spans="1:75" ht="15.75" customHeight="1" x14ac:dyDescent="0.2">
      <c r="A25" t="s">
        <v>69</v>
      </c>
      <c r="B25" t="s">
        <v>74</v>
      </c>
      <c r="C25" s="10" t="s">
        <v>72</v>
      </c>
      <c r="D25" s="10">
        <v>8</v>
      </c>
      <c r="E25" s="10">
        <v>3</v>
      </c>
      <c r="F25">
        <v>2020</v>
      </c>
      <c r="G25" s="10">
        <v>21</v>
      </c>
      <c r="H25" s="10">
        <v>31</v>
      </c>
      <c r="I25" s="10">
        <v>0</v>
      </c>
      <c r="J25" s="10">
        <v>5</v>
      </c>
      <c r="K25" s="10">
        <v>0</v>
      </c>
      <c r="L25" s="10">
        <v>80</v>
      </c>
      <c r="M25" s="10">
        <v>15</v>
      </c>
      <c r="N25" s="11">
        <f t="shared" si="0"/>
        <v>100</v>
      </c>
      <c r="O25" s="11">
        <f t="shared" si="1"/>
        <v>-5</v>
      </c>
      <c r="P25" s="10"/>
      <c r="Q25" s="10"/>
      <c r="R25" s="10"/>
      <c r="S25" s="10"/>
      <c r="T25" s="10"/>
      <c r="U25" s="10"/>
      <c r="V25" s="10"/>
      <c r="W25" s="10"/>
      <c r="X25" s="10"/>
      <c r="Y25" s="10">
        <v>5</v>
      </c>
      <c r="Z25" s="10"/>
      <c r="AA25" s="10"/>
      <c r="AB25" s="10"/>
      <c r="AC25" s="10"/>
      <c r="AD25" s="10">
        <v>3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>
        <v>1</v>
      </c>
      <c r="AV25" s="10">
        <v>3</v>
      </c>
      <c r="AW25" s="10"/>
      <c r="AX25" s="10"/>
      <c r="AY25" s="10"/>
      <c r="AZ25" s="10"/>
      <c r="BA25" s="10"/>
      <c r="BB25" s="10"/>
      <c r="BC25" s="10"/>
      <c r="BD25" s="10"/>
      <c r="BE25" s="12">
        <v>2</v>
      </c>
      <c r="BF25" s="12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>
        <v>60</v>
      </c>
      <c r="BT25" s="13">
        <v>1</v>
      </c>
      <c r="BU25" s="10"/>
      <c r="BV25" s="10"/>
      <c r="BW25" s="10"/>
    </row>
    <row r="26" spans="1:75" ht="15.75" customHeight="1" x14ac:dyDescent="0.2">
      <c r="A26" t="s">
        <v>69</v>
      </c>
      <c r="B26" t="s">
        <v>74</v>
      </c>
      <c r="C26" s="10" t="s">
        <v>72</v>
      </c>
      <c r="D26" s="10">
        <v>9</v>
      </c>
      <c r="E26" s="10">
        <v>1</v>
      </c>
      <c r="F26">
        <v>2020</v>
      </c>
      <c r="G26" s="10">
        <v>7</v>
      </c>
      <c r="H26" s="10">
        <v>21</v>
      </c>
      <c r="I26" s="10">
        <v>5</v>
      </c>
      <c r="J26" s="10">
        <v>0</v>
      </c>
      <c r="K26" s="10">
        <v>0</v>
      </c>
      <c r="L26" s="10">
        <v>70</v>
      </c>
      <c r="M26" s="10">
        <v>25</v>
      </c>
      <c r="N26" s="11">
        <f t="shared" si="0"/>
        <v>100</v>
      </c>
      <c r="O26" s="11">
        <f t="shared" si="1"/>
        <v>0</v>
      </c>
      <c r="P26" s="10"/>
      <c r="Q26" s="10"/>
      <c r="R26" s="10"/>
      <c r="S26" s="10"/>
      <c r="T26" s="10"/>
      <c r="U26" s="10"/>
      <c r="V26" s="10"/>
      <c r="W26" s="10"/>
      <c r="X26" s="10"/>
      <c r="Y26" s="10">
        <v>10</v>
      </c>
      <c r="Z26" s="10"/>
      <c r="AA26" s="10"/>
      <c r="AB26" s="10"/>
      <c r="AC26" s="10"/>
      <c r="AD26" s="10">
        <v>35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2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>
        <v>20</v>
      </c>
      <c r="BT26" s="10">
        <v>5</v>
      </c>
      <c r="BU26" s="10"/>
      <c r="BV26" s="10"/>
      <c r="BW26" s="10"/>
    </row>
    <row r="27" spans="1:75" ht="15.75" customHeight="1" x14ac:dyDescent="0.2">
      <c r="A27" t="s">
        <v>69</v>
      </c>
      <c r="B27" t="s">
        <v>74</v>
      </c>
      <c r="C27" s="10" t="s">
        <v>72</v>
      </c>
      <c r="D27" s="10">
        <v>9</v>
      </c>
      <c r="E27" s="10">
        <v>2</v>
      </c>
      <c r="F27">
        <v>2020</v>
      </c>
      <c r="G27" s="10">
        <v>14</v>
      </c>
      <c r="H27" s="10">
        <v>18</v>
      </c>
      <c r="I27" s="10">
        <v>10</v>
      </c>
      <c r="J27" s="10">
        <v>0</v>
      </c>
      <c r="K27" s="10">
        <v>0</v>
      </c>
      <c r="L27" s="10">
        <v>88</v>
      </c>
      <c r="M27" s="10">
        <v>2</v>
      </c>
      <c r="N27" s="11">
        <f t="shared" si="0"/>
        <v>100</v>
      </c>
      <c r="O27" s="11">
        <f t="shared" si="1"/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>
        <v>5</v>
      </c>
      <c r="AD27" s="10">
        <v>50</v>
      </c>
      <c r="AE27" s="10">
        <v>2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2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>
        <v>30</v>
      </c>
      <c r="BT27" s="10"/>
      <c r="BU27" s="10"/>
      <c r="BV27" s="10"/>
      <c r="BW27" s="10"/>
    </row>
    <row r="28" spans="1:75" ht="15.75" customHeight="1" x14ac:dyDescent="0.2">
      <c r="A28" t="s">
        <v>69</v>
      </c>
      <c r="B28" t="s">
        <v>74</v>
      </c>
      <c r="C28" s="10" t="s">
        <v>72</v>
      </c>
      <c r="D28" s="10">
        <v>9</v>
      </c>
      <c r="E28" s="10">
        <v>3</v>
      </c>
      <c r="F28">
        <v>2020</v>
      </c>
      <c r="G28" s="10">
        <v>21</v>
      </c>
      <c r="H28" s="12">
        <v>35</v>
      </c>
      <c r="I28" s="10">
        <v>40</v>
      </c>
      <c r="J28" s="10">
        <v>0</v>
      </c>
      <c r="K28" s="10">
        <v>0</v>
      </c>
      <c r="L28" s="10">
        <v>43</v>
      </c>
      <c r="M28" s="10">
        <v>17</v>
      </c>
      <c r="N28" s="11">
        <f t="shared" si="0"/>
        <v>100</v>
      </c>
      <c r="O28" s="11">
        <f t="shared" si="1"/>
        <v>0</v>
      </c>
      <c r="P28" s="10"/>
      <c r="Q28" s="10"/>
      <c r="R28" s="10"/>
      <c r="S28" s="10"/>
      <c r="T28" s="10"/>
      <c r="U28" s="10"/>
      <c r="V28" s="10"/>
      <c r="W28" s="10"/>
      <c r="X28" s="10"/>
      <c r="Y28" s="13">
        <v>5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>
        <v>1</v>
      </c>
      <c r="AN28" s="10">
        <v>2</v>
      </c>
      <c r="AO28" s="10"/>
      <c r="AP28" s="10"/>
      <c r="AQ28" s="10">
        <v>5</v>
      </c>
      <c r="AR28" s="10">
        <v>1</v>
      </c>
      <c r="AS28" s="10"/>
      <c r="AT28" s="10"/>
      <c r="AU28" s="10"/>
      <c r="AV28" s="10"/>
      <c r="AW28" s="10"/>
      <c r="AX28" s="10"/>
      <c r="AY28" s="10">
        <v>2</v>
      </c>
      <c r="AZ28" s="10">
        <v>3</v>
      </c>
      <c r="BA28" s="10"/>
      <c r="BB28" s="10">
        <v>1</v>
      </c>
      <c r="BC28" s="10"/>
      <c r="BD28" s="10"/>
      <c r="BE28" s="10"/>
      <c r="BF28" s="12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>
        <v>2</v>
      </c>
      <c r="BT28" s="10">
        <v>20</v>
      </c>
      <c r="BU28" s="10">
        <v>1</v>
      </c>
      <c r="BV28" s="10"/>
      <c r="BW28" s="10"/>
    </row>
    <row r="29" spans="1:75" ht="15.75" customHeight="1" x14ac:dyDescent="0.2">
      <c r="A29" t="s">
        <v>69</v>
      </c>
      <c r="B29" t="s">
        <v>74</v>
      </c>
      <c r="C29" s="10" t="s">
        <v>72</v>
      </c>
      <c r="D29" s="10">
        <v>11</v>
      </c>
      <c r="E29" s="10">
        <v>1</v>
      </c>
      <c r="F29">
        <v>2020</v>
      </c>
      <c r="G29" s="10">
        <v>7</v>
      </c>
      <c r="H29" s="10">
        <v>16</v>
      </c>
      <c r="I29" s="10">
        <v>10</v>
      </c>
      <c r="J29" s="10">
        <v>0</v>
      </c>
      <c r="K29" s="10">
        <v>0</v>
      </c>
      <c r="L29" s="10">
        <v>90</v>
      </c>
      <c r="M29" s="10">
        <v>0</v>
      </c>
      <c r="N29" s="11">
        <f t="shared" si="0"/>
        <v>100</v>
      </c>
      <c r="O29" s="11">
        <f t="shared" si="1"/>
        <v>1</v>
      </c>
      <c r="P29" s="10"/>
      <c r="Q29" s="10"/>
      <c r="R29" s="10"/>
      <c r="S29" s="10"/>
      <c r="T29" s="10"/>
      <c r="U29" s="10"/>
      <c r="V29" s="10"/>
      <c r="W29" s="10"/>
      <c r="X29" s="10"/>
      <c r="Y29" s="10">
        <v>3</v>
      </c>
      <c r="Z29" s="10"/>
      <c r="AA29" s="10"/>
      <c r="AB29" s="10">
        <v>2</v>
      </c>
      <c r="AC29" s="10"/>
      <c r="AD29" s="10">
        <v>75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>
        <v>5</v>
      </c>
      <c r="AQ29" s="10"/>
      <c r="AR29" s="10">
        <v>1</v>
      </c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2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>
        <v>5</v>
      </c>
      <c r="BW29" s="10"/>
    </row>
    <row r="30" spans="1:75" ht="15.75" customHeight="1" x14ac:dyDescent="0.2">
      <c r="A30" t="s">
        <v>69</v>
      </c>
      <c r="B30" t="s">
        <v>74</v>
      </c>
      <c r="C30" s="10" t="s">
        <v>72</v>
      </c>
      <c r="D30" s="10">
        <v>11</v>
      </c>
      <c r="E30" s="10">
        <v>2</v>
      </c>
      <c r="F30">
        <v>2020</v>
      </c>
      <c r="G30" s="10">
        <v>14</v>
      </c>
      <c r="H30" s="10">
        <v>12</v>
      </c>
      <c r="I30" s="10">
        <v>10</v>
      </c>
      <c r="J30" s="10">
        <v>0</v>
      </c>
      <c r="K30" s="10">
        <v>0</v>
      </c>
      <c r="L30" s="10">
        <v>97</v>
      </c>
      <c r="M30" s="10">
        <v>3</v>
      </c>
      <c r="N30" s="11">
        <f t="shared" si="0"/>
        <v>110</v>
      </c>
      <c r="O30" s="11">
        <f t="shared" si="1"/>
        <v>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>
        <v>1</v>
      </c>
      <c r="AA30" s="10"/>
      <c r="AB30" s="10"/>
      <c r="AC30" s="10"/>
      <c r="AD30" s="10"/>
      <c r="AE30" s="10"/>
      <c r="AF30" s="10"/>
      <c r="AG30" s="10"/>
      <c r="AH30" s="10">
        <v>5</v>
      </c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2"/>
      <c r="BG30" s="10"/>
      <c r="BH30" s="10"/>
      <c r="BI30" s="10"/>
      <c r="BJ30" s="10"/>
      <c r="BK30" s="10"/>
      <c r="BL30" s="10"/>
      <c r="BM30" s="10"/>
      <c r="BN30" s="10"/>
      <c r="BO30" s="10"/>
      <c r="BP30" s="10">
        <v>1</v>
      </c>
      <c r="BQ30" s="10"/>
      <c r="BR30" s="10"/>
      <c r="BS30" s="10">
        <v>90</v>
      </c>
      <c r="BT30" s="10"/>
      <c r="BU30" s="10"/>
      <c r="BV30" s="10"/>
      <c r="BW30" s="10"/>
    </row>
    <row r="31" spans="1:75" ht="15.75" customHeight="1" x14ac:dyDescent="0.2">
      <c r="A31" t="s">
        <v>69</v>
      </c>
      <c r="B31" t="s">
        <v>74</v>
      </c>
      <c r="C31" s="10" t="s">
        <v>72</v>
      </c>
      <c r="D31" s="10">
        <v>11</v>
      </c>
      <c r="E31" s="10">
        <v>3</v>
      </c>
      <c r="F31">
        <v>2020</v>
      </c>
      <c r="G31" s="10">
        <v>21</v>
      </c>
      <c r="H31" s="10">
        <v>24</v>
      </c>
      <c r="I31" s="10">
        <v>0</v>
      </c>
      <c r="J31" s="10">
        <v>0</v>
      </c>
      <c r="K31" s="10">
        <v>0</v>
      </c>
      <c r="L31" s="10">
        <v>89</v>
      </c>
      <c r="M31" s="10">
        <v>19</v>
      </c>
      <c r="N31" s="11">
        <f t="shared" si="0"/>
        <v>108</v>
      </c>
      <c r="O31" s="11">
        <f t="shared" si="1"/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70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>
        <v>10</v>
      </c>
      <c r="AQ31" s="10"/>
      <c r="AR31" s="10">
        <v>1</v>
      </c>
      <c r="AS31" s="10"/>
      <c r="AT31" s="10"/>
      <c r="AU31" s="10"/>
      <c r="AV31" s="10">
        <v>3</v>
      </c>
      <c r="AW31" s="10"/>
      <c r="AX31" s="10"/>
      <c r="AY31" s="10"/>
      <c r="AZ31" s="10"/>
      <c r="BA31" s="10"/>
      <c r="BB31" s="10"/>
      <c r="BC31" s="10"/>
      <c r="BD31" s="10"/>
      <c r="BE31" s="10"/>
      <c r="BF31" s="12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>
        <v>5</v>
      </c>
      <c r="BU31" s="10"/>
      <c r="BV31" s="10"/>
      <c r="BW31" s="10"/>
    </row>
    <row r="32" spans="1:75" ht="15.75" customHeight="1" x14ac:dyDescent="0.2">
      <c r="A32" t="s">
        <v>69</v>
      </c>
      <c r="B32" t="s">
        <v>74</v>
      </c>
      <c r="C32" s="10" t="s">
        <v>71</v>
      </c>
      <c r="D32" s="10">
        <v>38</v>
      </c>
      <c r="E32" s="10">
        <v>1</v>
      </c>
      <c r="F32">
        <v>2020</v>
      </c>
      <c r="G32" s="10">
        <v>6</v>
      </c>
      <c r="H32" s="10">
        <v>15</v>
      </c>
      <c r="I32" s="10">
        <v>5</v>
      </c>
      <c r="J32" s="10">
        <v>0</v>
      </c>
      <c r="K32" s="10">
        <v>0</v>
      </c>
      <c r="L32" s="10">
        <v>60</v>
      </c>
      <c r="M32" s="10">
        <v>35</v>
      </c>
      <c r="N32" s="11">
        <f t="shared" si="0"/>
        <v>100</v>
      </c>
      <c r="O32" s="11">
        <f t="shared" si="1"/>
        <v>1</v>
      </c>
      <c r="P32" s="10"/>
      <c r="Q32" s="10"/>
      <c r="R32" s="10"/>
      <c r="S32" s="10"/>
      <c r="T32" s="10"/>
      <c r="U32" s="10"/>
      <c r="V32" s="10"/>
      <c r="W32" s="10"/>
      <c r="X32" s="10"/>
      <c r="Y32" s="13">
        <v>1</v>
      </c>
      <c r="Z32" s="10"/>
      <c r="AA32" s="10"/>
      <c r="AB32" s="10"/>
      <c r="AC32" s="10"/>
      <c r="AD32" s="10">
        <v>22</v>
      </c>
      <c r="AE32" s="10"/>
      <c r="AF32" s="10"/>
      <c r="AG32" s="10">
        <v>30</v>
      </c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>
        <v>1</v>
      </c>
      <c r="AT32" s="10"/>
      <c r="AU32" s="10"/>
      <c r="AV32" s="10"/>
      <c r="AW32" s="13">
        <v>1</v>
      </c>
      <c r="AX32" s="10"/>
      <c r="AY32" s="10">
        <v>1</v>
      </c>
      <c r="AZ32" s="10"/>
      <c r="BA32" s="10"/>
      <c r="BB32" s="10"/>
      <c r="BC32" s="10"/>
      <c r="BD32" s="10"/>
      <c r="BE32" s="13"/>
      <c r="BF32" s="15">
        <v>1</v>
      </c>
      <c r="BG32" s="15">
        <v>1</v>
      </c>
      <c r="BH32" s="15"/>
      <c r="BI32" s="10">
        <v>1</v>
      </c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>
        <v>2</v>
      </c>
      <c r="BU32" s="10"/>
      <c r="BV32" s="10"/>
      <c r="BW32" s="10"/>
    </row>
    <row r="33" spans="1:75" ht="15.75" customHeight="1" x14ac:dyDescent="0.2">
      <c r="A33" t="s">
        <v>69</v>
      </c>
      <c r="B33" t="s">
        <v>74</v>
      </c>
      <c r="C33" s="10" t="s">
        <v>71</v>
      </c>
      <c r="D33" s="10">
        <v>38</v>
      </c>
      <c r="E33" s="10">
        <v>2</v>
      </c>
      <c r="F33">
        <v>2020</v>
      </c>
      <c r="G33" s="10">
        <v>17.8</v>
      </c>
      <c r="H33" s="10">
        <v>5</v>
      </c>
      <c r="I33" s="10">
        <v>5</v>
      </c>
      <c r="J33" s="10">
        <v>0</v>
      </c>
      <c r="K33" s="10">
        <v>0</v>
      </c>
      <c r="L33" s="10">
        <v>3</v>
      </c>
      <c r="M33" s="10">
        <v>92</v>
      </c>
      <c r="N33" s="11">
        <f t="shared" si="0"/>
        <v>100</v>
      </c>
      <c r="O33" s="11">
        <f t="shared" si="1"/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>
        <v>2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2">
        <v>1</v>
      </c>
      <c r="BG33" s="12"/>
      <c r="BH33" s="12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</row>
    <row r="34" spans="1:75" ht="15.75" customHeight="1" x14ac:dyDescent="0.2">
      <c r="A34" t="s">
        <v>69</v>
      </c>
      <c r="B34" t="s">
        <v>74</v>
      </c>
      <c r="C34" s="10" t="s">
        <v>71</v>
      </c>
      <c r="D34" s="10">
        <v>38</v>
      </c>
      <c r="E34" s="10">
        <v>3</v>
      </c>
      <c r="F34">
        <v>2020</v>
      </c>
      <c r="G34" s="10">
        <v>22.7</v>
      </c>
      <c r="H34" s="10">
        <v>14</v>
      </c>
      <c r="I34" s="10">
        <v>5</v>
      </c>
      <c r="J34" s="10">
        <v>0</v>
      </c>
      <c r="K34" s="10">
        <v>0</v>
      </c>
      <c r="L34" s="10">
        <v>25</v>
      </c>
      <c r="M34" s="10">
        <v>70</v>
      </c>
      <c r="N34" s="11">
        <f t="shared" si="0"/>
        <v>100</v>
      </c>
      <c r="O34" s="11">
        <f t="shared" si="1"/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22</v>
      </c>
      <c r="AE34" s="10"/>
      <c r="AF34" s="10"/>
      <c r="AG34" s="10"/>
      <c r="AH34" s="10"/>
      <c r="AI34" s="10"/>
      <c r="AJ34" s="10"/>
      <c r="AK34" s="10">
        <v>3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2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</row>
    <row r="35" spans="1:75" ht="15.75" customHeight="1" x14ac:dyDescent="0.2">
      <c r="A35" t="s">
        <v>69</v>
      </c>
      <c r="B35" t="s">
        <v>74</v>
      </c>
      <c r="C35" s="10" t="s">
        <v>71</v>
      </c>
      <c r="D35" s="10">
        <v>39</v>
      </c>
      <c r="E35" s="10">
        <v>1</v>
      </c>
      <c r="F35">
        <v>2020</v>
      </c>
      <c r="G35" s="10">
        <v>2.5</v>
      </c>
      <c r="H35" s="10">
        <v>16</v>
      </c>
      <c r="I35" s="10">
        <v>30</v>
      </c>
      <c r="J35" s="10">
        <v>0</v>
      </c>
      <c r="K35" s="10">
        <v>0</v>
      </c>
      <c r="L35" s="10">
        <v>50</v>
      </c>
      <c r="M35" s="10">
        <v>20</v>
      </c>
      <c r="N35" s="11">
        <f t="shared" si="0"/>
        <v>100</v>
      </c>
      <c r="O35" s="11">
        <f t="shared" si="1"/>
        <v>1</v>
      </c>
      <c r="P35" s="10"/>
      <c r="Q35" s="10"/>
      <c r="R35" s="10"/>
      <c r="S35" s="10"/>
      <c r="T35" s="10"/>
      <c r="U35" s="10"/>
      <c r="V35" s="10"/>
      <c r="W35" s="10"/>
      <c r="X35" s="10"/>
      <c r="Y35" s="13">
        <v>5</v>
      </c>
      <c r="Z35" s="10"/>
      <c r="AA35" s="10"/>
      <c r="AB35" s="10"/>
      <c r="AC35" s="10"/>
      <c r="AD35" s="10">
        <v>39</v>
      </c>
      <c r="AE35" s="10"/>
      <c r="AF35" s="10"/>
      <c r="AG35" s="10"/>
      <c r="AH35" s="10">
        <v>5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>
        <v>1</v>
      </c>
      <c r="AX35" s="10"/>
      <c r="AY35" s="10"/>
      <c r="AZ35" s="10"/>
      <c r="BA35" s="10"/>
      <c r="BB35" s="10"/>
      <c r="BC35" s="10"/>
      <c r="BD35" s="10"/>
      <c r="BE35" s="10"/>
      <c r="BF35" s="12">
        <v>1</v>
      </c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</row>
    <row r="36" spans="1:75" ht="15.75" customHeight="1" x14ac:dyDescent="0.2">
      <c r="A36" t="s">
        <v>69</v>
      </c>
      <c r="B36" t="s">
        <v>74</v>
      </c>
      <c r="C36" s="10" t="s">
        <v>71</v>
      </c>
      <c r="D36" s="10">
        <v>39</v>
      </c>
      <c r="E36" s="10">
        <v>2</v>
      </c>
      <c r="F36">
        <v>2020</v>
      </c>
      <c r="G36" s="10">
        <v>11.7</v>
      </c>
      <c r="H36" s="10">
        <v>20</v>
      </c>
      <c r="I36" s="10">
        <v>3</v>
      </c>
      <c r="J36" s="10">
        <v>0</v>
      </c>
      <c r="K36" s="10">
        <v>0</v>
      </c>
      <c r="L36" s="10">
        <v>22</v>
      </c>
      <c r="M36" s="10">
        <v>75</v>
      </c>
      <c r="N36" s="11">
        <f t="shared" si="0"/>
        <v>100</v>
      </c>
      <c r="O36" s="11">
        <f t="shared" si="1"/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20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>
        <v>1</v>
      </c>
      <c r="AX36" s="10"/>
      <c r="AY36" s="10"/>
      <c r="AZ36" s="10"/>
      <c r="BA36" s="10"/>
      <c r="BB36" s="10"/>
      <c r="BC36" s="10"/>
      <c r="BD36" s="10"/>
      <c r="BE36" s="10"/>
      <c r="BF36" s="12">
        <v>1</v>
      </c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>
        <v>1</v>
      </c>
      <c r="BV36" s="10"/>
      <c r="BW36" s="10"/>
    </row>
    <row r="37" spans="1:75" ht="15.75" customHeight="1" x14ac:dyDescent="0.2">
      <c r="A37" t="s">
        <v>69</v>
      </c>
      <c r="B37" t="s">
        <v>74</v>
      </c>
      <c r="C37" s="10" t="s">
        <v>71</v>
      </c>
      <c r="D37" s="10">
        <v>39</v>
      </c>
      <c r="E37" s="10">
        <v>3</v>
      </c>
      <c r="F37">
        <v>2020</v>
      </c>
      <c r="G37" s="10">
        <v>26</v>
      </c>
      <c r="H37" s="10">
        <v>16</v>
      </c>
      <c r="I37" s="10">
        <v>1</v>
      </c>
      <c r="J37" s="10">
        <v>0</v>
      </c>
      <c r="K37" s="10">
        <v>0</v>
      </c>
      <c r="L37" s="10">
        <v>15</v>
      </c>
      <c r="M37" s="10">
        <v>84</v>
      </c>
      <c r="N37" s="11">
        <f t="shared" si="0"/>
        <v>100</v>
      </c>
      <c r="O37" s="11">
        <f t="shared" si="1"/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15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2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</row>
    <row r="38" spans="1:75" ht="15.75" customHeight="1" x14ac:dyDescent="0.2">
      <c r="A38" t="s">
        <v>69</v>
      </c>
      <c r="B38" t="s">
        <v>74</v>
      </c>
      <c r="C38" s="10" t="s">
        <v>71</v>
      </c>
      <c r="D38" s="10">
        <v>40</v>
      </c>
      <c r="E38" s="10">
        <v>1</v>
      </c>
      <c r="F38">
        <v>2020</v>
      </c>
      <c r="G38" s="10">
        <v>2.2000000000000002</v>
      </c>
      <c r="H38" s="10">
        <v>20</v>
      </c>
      <c r="I38" s="10">
        <v>2</v>
      </c>
      <c r="J38" s="10">
        <v>0</v>
      </c>
      <c r="K38" s="10">
        <v>0</v>
      </c>
      <c r="L38" s="10">
        <v>75</v>
      </c>
      <c r="M38" s="10">
        <v>23</v>
      </c>
      <c r="N38" s="11">
        <f t="shared" si="0"/>
        <v>100</v>
      </c>
      <c r="O38" s="11">
        <f t="shared" si="1"/>
        <v>0</v>
      </c>
      <c r="P38" s="10"/>
      <c r="Q38" s="10"/>
      <c r="R38" s="10"/>
      <c r="S38" s="10">
        <v>1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>
        <v>65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>
        <v>1</v>
      </c>
      <c r="AV38" s="10"/>
      <c r="AW38" s="10"/>
      <c r="AX38" s="10"/>
      <c r="AY38" s="10">
        <v>8</v>
      </c>
      <c r="AZ38" s="10"/>
      <c r="BA38" s="10"/>
      <c r="BB38" s="10"/>
      <c r="BC38" s="10"/>
      <c r="BD38" s="10"/>
      <c r="BE38" s="10"/>
      <c r="BF38" s="12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</row>
    <row r="39" spans="1:75" ht="15.75" customHeight="1" x14ac:dyDescent="0.2">
      <c r="A39" t="s">
        <v>69</v>
      </c>
      <c r="B39" t="s">
        <v>74</v>
      </c>
      <c r="C39" s="10" t="s">
        <v>71</v>
      </c>
      <c r="D39" s="10">
        <v>40</v>
      </c>
      <c r="E39" s="10">
        <v>2</v>
      </c>
      <c r="F39">
        <v>2020</v>
      </c>
      <c r="G39" s="10">
        <v>6.8</v>
      </c>
      <c r="H39" s="10">
        <v>31</v>
      </c>
      <c r="I39" s="10">
        <v>1</v>
      </c>
      <c r="J39" s="10">
        <v>0</v>
      </c>
      <c r="K39" s="10">
        <v>0</v>
      </c>
      <c r="L39" s="10">
        <v>34</v>
      </c>
      <c r="M39" s="10">
        <v>65</v>
      </c>
      <c r="N39" s="11">
        <f t="shared" si="0"/>
        <v>100</v>
      </c>
      <c r="O39" s="11">
        <f t="shared" si="1"/>
        <v>1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>
        <v>2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3">
        <v>1</v>
      </c>
      <c r="AX39" s="10"/>
      <c r="AY39" s="10"/>
      <c r="AZ39" s="10"/>
      <c r="BA39" s="10"/>
      <c r="BB39" s="10"/>
      <c r="BC39" s="10"/>
      <c r="BD39" s="10"/>
      <c r="BE39" s="10"/>
      <c r="BF39" s="15">
        <v>1</v>
      </c>
      <c r="BG39" s="12">
        <v>1</v>
      </c>
      <c r="BH39" s="12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>
        <v>30</v>
      </c>
      <c r="BT39" s="10"/>
      <c r="BU39" s="10"/>
      <c r="BV39" s="10"/>
      <c r="BW39" s="10"/>
    </row>
    <row r="40" spans="1:75" ht="15.75" customHeight="1" x14ac:dyDescent="0.2">
      <c r="A40" t="s">
        <v>69</v>
      </c>
      <c r="B40" t="s">
        <v>74</v>
      </c>
      <c r="C40" s="10" t="s">
        <v>71</v>
      </c>
      <c r="D40" s="10">
        <v>40</v>
      </c>
      <c r="E40" s="10">
        <v>3</v>
      </c>
      <c r="F40">
        <v>2020</v>
      </c>
      <c r="G40" s="10">
        <v>28.5</v>
      </c>
      <c r="H40" s="10">
        <v>14</v>
      </c>
      <c r="I40" s="10">
        <v>15</v>
      </c>
      <c r="J40" s="10">
        <v>5</v>
      </c>
      <c r="K40" s="10">
        <v>0</v>
      </c>
      <c r="L40" s="10">
        <v>40</v>
      </c>
      <c r="M40" s="10">
        <v>40</v>
      </c>
      <c r="N40" s="11">
        <f t="shared" si="0"/>
        <v>100</v>
      </c>
      <c r="O40" s="11">
        <f t="shared" si="1"/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10</v>
      </c>
      <c r="AE40" s="10"/>
      <c r="AF40" s="10"/>
      <c r="AG40" s="10">
        <v>20</v>
      </c>
      <c r="AH40" s="10"/>
      <c r="AI40" s="10"/>
      <c r="AJ40" s="10"/>
      <c r="AK40" s="10"/>
      <c r="AL40" s="10"/>
      <c r="AM40" s="10"/>
      <c r="AN40" s="10">
        <v>5</v>
      </c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>
        <v>5</v>
      </c>
      <c r="AZ40" s="10"/>
      <c r="BA40" s="10"/>
      <c r="BB40" s="10"/>
      <c r="BC40" s="10"/>
      <c r="BD40" s="10"/>
      <c r="BE40" s="10"/>
      <c r="BF40" s="12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</row>
    <row r="41" spans="1:75" ht="15.75" customHeight="1" x14ac:dyDescent="0.2">
      <c r="A41" t="s">
        <v>69</v>
      </c>
      <c r="B41" t="s">
        <v>74</v>
      </c>
      <c r="C41" s="10" t="s">
        <v>71</v>
      </c>
      <c r="D41" s="10">
        <v>41</v>
      </c>
      <c r="E41" s="10">
        <v>1</v>
      </c>
      <c r="F41">
        <v>2020</v>
      </c>
      <c r="G41" s="10">
        <v>8.5</v>
      </c>
      <c r="H41" s="10">
        <v>24</v>
      </c>
      <c r="I41" s="10">
        <v>10</v>
      </c>
      <c r="J41" s="10">
        <v>0</v>
      </c>
      <c r="K41" s="10">
        <v>0</v>
      </c>
      <c r="L41" s="10">
        <v>20</v>
      </c>
      <c r="M41" s="10">
        <v>70</v>
      </c>
      <c r="N41" s="11">
        <f t="shared" si="0"/>
        <v>100</v>
      </c>
      <c r="O41" s="11">
        <f t="shared" si="1"/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15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>
        <v>5</v>
      </c>
      <c r="AZ41" s="10"/>
      <c r="BA41" s="10"/>
      <c r="BB41" s="10"/>
      <c r="BC41" s="10"/>
      <c r="BD41" s="10"/>
      <c r="BE41" s="10"/>
      <c r="BF41" s="12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</row>
    <row r="42" spans="1:75" ht="15.75" customHeight="1" x14ac:dyDescent="0.2">
      <c r="A42" t="s">
        <v>69</v>
      </c>
      <c r="B42" t="s">
        <v>74</v>
      </c>
      <c r="C42" s="10" t="s">
        <v>71</v>
      </c>
      <c r="D42" s="10">
        <v>41</v>
      </c>
      <c r="E42" s="10">
        <v>2</v>
      </c>
      <c r="F42">
        <v>2020</v>
      </c>
      <c r="G42" s="10">
        <v>14.5</v>
      </c>
      <c r="H42" s="10">
        <v>13</v>
      </c>
      <c r="I42" s="10">
        <v>15</v>
      </c>
      <c r="J42" s="10">
        <v>5</v>
      </c>
      <c r="K42" s="10">
        <v>0</v>
      </c>
      <c r="L42" s="10">
        <v>80</v>
      </c>
      <c r="M42" s="10">
        <v>0</v>
      </c>
      <c r="N42" s="11">
        <f t="shared" si="0"/>
        <v>100</v>
      </c>
      <c r="O42" s="11">
        <f t="shared" si="1"/>
        <v>-60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>
        <v>13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>
        <v>2</v>
      </c>
      <c r="AZ42" s="10"/>
      <c r="BA42" s="10"/>
      <c r="BB42" s="10"/>
      <c r="BC42" s="10"/>
      <c r="BD42" s="10"/>
      <c r="BE42" s="10"/>
      <c r="BF42" s="12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>
        <v>5</v>
      </c>
      <c r="BT42" s="10"/>
      <c r="BU42" s="10"/>
      <c r="BV42" s="10"/>
      <c r="BW42" s="10"/>
    </row>
    <row r="43" spans="1:75" ht="15.75" customHeight="1" x14ac:dyDescent="0.2">
      <c r="A43" t="s">
        <v>69</v>
      </c>
      <c r="B43" t="s">
        <v>74</v>
      </c>
      <c r="C43" s="10" t="s">
        <v>71</v>
      </c>
      <c r="D43" s="10">
        <v>41</v>
      </c>
      <c r="E43" s="10">
        <v>3</v>
      </c>
      <c r="F43">
        <v>2020</v>
      </c>
      <c r="G43" s="10">
        <v>28</v>
      </c>
      <c r="H43" s="10">
        <v>25</v>
      </c>
      <c r="I43" s="10">
        <v>14</v>
      </c>
      <c r="J43" s="10">
        <v>0</v>
      </c>
      <c r="K43" s="10">
        <v>0</v>
      </c>
      <c r="L43" s="10">
        <v>86</v>
      </c>
      <c r="M43" s="10">
        <v>0</v>
      </c>
      <c r="N43" s="11">
        <f t="shared" si="0"/>
        <v>100</v>
      </c>
      <c r="O43" s="11">
        <f t="shared" si="1"/>
        <v>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>
        <v>5</v>
      </c>
      <c r="AA43" s="10"/>
      <c r="AB43" s="10"/>
      <c r="AC43" s="10"/>
      <c r="AD43" s="10">
        <v>70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>
        <v>1</v>
      </c>
      <c r="AX43" s="10"/>
      <c r="AY43" s="10"/>
      <c r="AZ43" s="10"/>
      <c r="BA43" s="10"/>
      <c r="BB43" s="10"/>
      <c r="BC43" s="10"/>
      <c r="BD43" s="10"/>
      <c r="BE43" s="10"/>
      <c r="BF43" s="12">
        <v>1</v>
      </c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>
        <v>10</v>
      </c>
      <c r="BT43" s="10"/>
      <c r="BU43" s="10"/>
      <c r="BV43" s="10"/>
      <c r="BW43" s="10"/>
    </row>
    <row r="44" spans="1:75" ht="15.75" customHeight="1" x14ac:dyDescent="0.2">
      <c r="A44" t="s">
        <v>69</v>
      </c>
      <c r="B44" t="s">
        <v>74</v>
      </c>
      <c r="C44" s="10" t="s">
        <v>71</v>
      </c>
      <c r="D44" s="10">
        <v>42</v>
      </c>
      <c r="E44" s="10">
        <v>1</v>
      </c>
      <c r="F44">
        <v>2020</v>
      </c>
      <c r="G44" s="10">
        <v>17.8</v>
      </c>
      <c r="H44" s="10">
        <v>15</v>
      </c>
      <c r="I44" s="10">
        <v>10</v>
      </c>
      <c r="J44" s="10">
        <v>0</v>
      </c>
      <c r="K44" s="10">
        <v>0</v>
      </c>
      <c r="L44" s="10">
        <v>15</v>
      </c>
      <c r="M44" s="10">
        <v>75</v>
      </c>
      <c r="N44" s="11">
        <f t="shared" si="0"/>
        <v>100</v>
      </c>
      <c r="O44" s="11">
        <f t="shared" si="1"/>
        <v>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10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>
        <v>2</v>
      </c>
      <c r="AW44" s="10"/>
      <c r="AX44" s="10"/>
      <c r="AY44" s="10">
        <v>3</v>
      </c>
      <c r="AZ44" s="10"/>
      <c r="BA44" s="10"/>
      <c r="BB44" s="10"/>
      <c r="BC44" s="10"/>
      <c r="BD44" s="10"/>
      <c r="BE44" s="10"/>
      <c r="BF44" s="12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</row>
    <row r="45" spans="1:75" ht="15.75" customHeight="1" x14ac:dyDescent="0.2">
      <c r="A45" t="s">
        <v>69</v>
      </c>
      <c r="B45" t="s">
        <v>74</v>
      </c>
      <c r="C45" s="10" t="s">
        <v>71</v>
      </c>
      <c r="D45" s="10">
        <v>42</v>
      </c>
      <c r="E45" s="10">
        <v>2</v>
      </c>
      <c r="F45">
        <v>2020</v>
      </c>
      <c r="G45" s="10">
        <v>24</v>
      </c>
      <c r="H45" s="10">
        <v>27</v>
      </c>
      <c r="I45" s="10">
        <v>10</v>
      </c>
      <c r="J45" s="10">
        <v>5</v>
      </c>
      <c r="K45" s="10">
        <v>0</v>
      </c>
      <c r="L45" s="10">
        <v>20</v>
      </c>
      <c r="M45" s="10">
        <v>65</v>
      </c>
      <c r="N45" s="11">
        <f t="shared" si="0"/>
        <v>100</v>
      </c>
      <c r="O45" s="11">
        <f t="shared" si="1"/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>
        <v>18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>
        <v>1</v>
      </c>
      <c r="AT45" s="10"/>
      <c r="AU45" s="10"/>
      <c r="AV45" s="10"/>
      <c r="AW45" s="10"/>
      <c r="AX45" s="10"/>
      <c r="AY45" s="10">
        <v>1</v>
      </c>
      <c r="AZ45" s="10"/>
      <c r="BA45" s="10"/>
      <c r="BB45" s="10"/>
      <c r="BC45" s="10"/>
      <c r="BD45" s="10"/>
      <c r="BE45" s="10"/>
      <c r="BF45" s="12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</row>
    <row r="46" spans="1:75" ht="15.75" customHeight="1" x14ac:dyDescent="0.2">
      <c r="A46" t="s">
        <v>69</v>
      </c>
      <c r="B46" t="s">
        <v>74</v>
      </c>
      <c r="C46" s="10" t="s">
        <v>71</v>
      </c>
      <c r="D46" s="10">
        <v>42</v>
      </c>
      <c r="E46" s="10">
        <v>3</v>
      </c>
      <c r="F46">
        <v>2020</v>
      </c>
      <c r="G46" s="10">
        <v>26.5</v>
      </c>
      <c r="H46" s="10">
        <v>24</v>
      </c>
      <c r="I46" s="10">
        <v>10</v>
      </c>
      <c r="J46" s="10">
        <v>5</v>
      </c>
      <c r="K46" s="10">
        <v>0</v>
      </c>
      <c r="L46" s="10">
        <v>20</v>
      </c>
      <c r="M46" s="10">
        <v>65</v>
      </c>
      <c r="N46" s="11">
        <f t="shared" si="0"/>
        <v>100</v>
      </c>
      <c r="O46" s="11">
        <f t="shared" si="1"/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>
        <v>5</v>
      </c>
      <c r="AZ46" s="10"/>
      <c r="BA46" s="10"/>
      <c r="BB46" s="10"/>
      <c r="BC46" s="10"/>
      <c r="BD46" s="10"/>
      <c r="BE46" s="10"/>
      <c r="BF46" s="12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>
        <v>15</v>
      </c>
      <c r="BT46" s="10"/>
      <c r="BU46" s="10"/>
      <c r="BV46" s="10"/>
      <c r="BW46" s="10"/>
    </row>
    <row r="47" spans="1:75" ht="15.75" customHeight="1" x14ac:dyDescent="0.2">
      <c r="A47" t="s">
        <v>69</v>
      </c>
      <c r="B47" t="s">
        <v>74</v>
      </c>
      <c r="C47" s="10" t="s">
        <v>71</v>
      </c>
      <c r="D47" s="10">
        <v>43</v>
      </c>
      <c r="E47" s="10">
        <v>1</v>
      </c>
      <c r="F47">
        <v>2020</v>
      </c>
      <c r="G47" s="10">
        <v>2.5</v>
      </c>
      <c r="H47" s="10">
        <v>17</v>
      </c>
      <c r="I47" s="10">
        <v>5</v>
      </c>
      <c r="J47" s="10">
        <v>0</v>
      </c>
      <c r="K47" s="10">
        <v>0</v>
      </c>
      <c r="L47" s="10">
        <v>27</v>
      </c>
      <c r="M47" s="10">
        <v>78</v>
      </c>
      <c r="N47" s="11">
        <f t="shared" si="0"/>
        <v>110</v>
      </c>
      <c r="O47" s="11">
        <f t="shared" si="1"/>
        <v>0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>
        <v>1</v>
      </c>
      <c r="AA47" s="10"/>
      <c r="AB47" s="10"/>
      <c r="AC47" s="10"/>
      <c r="AD47" s="10">
        <v>25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2">
        <v>1</v>
      </c>
      <c r="BG47" s="12"/>
      <c r="BH47" s="12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</row>
    <row r="48" spans="1:75" ht="15.75" customHeight="1" x14ac:dyDescent="0.2">
      <c r="A48" t="s">
        <v>69</v>
      </c>
      <c r="B48" t="s">
        <v>74</v>
      </c>
      <c r="C48" s="10" t="s">
        <v>71</v>
      </c>
      <c r="D48" s="10">
        <v>43</v>
      </c>
      <c r="E48" s="10">
        <v>2</v>
      </c>
      <c r="F48">
        <v>2020</v>
      </c>
      <c r="G48" s="10">
        <v>10</v>
      </c>
      <c r="H48" s="10">
        <v>27</v>
      </c>
      <c r="I48" s="10">
        <v>10</v>
      </c>
      <c r="J48" s="10">
        <v>0</v>
      </c>
      <c r="K48" s="10">
        <v>0</v>
      </c>
      <c r="L48" s="10">
        <v>80</v>
      </c>
      <c r="M48" s="10">
        <v>10</v>
      </c>
      <c r="N48" s="11">
        <f t="shared" si="0"/>
        <v>100</v>
      </c>
      <c r="O48" s="11">
        <f t="shared" si="1"/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>
        <v>80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2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</row>
    <row r="49" spans="1:75" ht="15.75" customHeight="1" x14ac:dyDescent="0.2">
      <c r="A49" t="s">
        <v>69</v>
      </c>
      <c r="B49" t="s">
        <v>74</v>
      </c>
      <c r="C49" s="10" t="s">
        <v>71</v>
      </c>
      <c r="D49" s="10">
        <v>43</v>
      </c>
      <c r="E49" s="10">
        <v>3</v>
      </c>
      <c r="F49">
        <v>2020</v>
      </c>
      <c r="G49" s="10">
        <v>18</v>
      </c>
      <c r="H49" s="10">
        <v>31</v>
      </c>
      <c r="I49" s="10">
        <v>0</v>
      </c>
      <c r="J49" s="10">
        <v>0</v>
      </c>
      <c r="K49" s="10">
        <v>0</v>
      </c>
      <c r="L49" s="10">
        <v>32</v>
      </c>
      <c r="M49" s="10">
        <v>78</v>
      </c>
      <c r="N49" s="11">
        <f t="shared" si="0"/>
        <v>110</v>
      </c>
      <c r="O49" s="11">
        <f t="shared" si="1"/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2">
        <v>1</v>
      </c>
      <c r="BG49" s="12"/>
      <c r="BH49" s="12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>
        <v>30</v>
      </c>
      <c r="BT49" s="10">
        <v>1</v>
      </c>
      <c r="BU49" s="10"/>
      <c r="BV49" s="10"/>
      <c r="BW49" s="10"/>
    </row>
    <row r="50" spans="1:75" ht="15.75" customHeight="1" x14ac:dyDescent="0.2">
      <c r="A50" t="s">
        <v>69</v>
      </c>
      <c r="B50" t="s">
        <v>74</v>
      </c>
      <c r="C50" s="10" t="s">
        <v>71</v>
      </c>
      <c r="D50" s="10">
        <v>44</v>
      </c>
      <c r="E50" s="10">
        <v>1</v>
      </c>
      <c r="F50">
        <v>2020</v>
      </c>
      <c r="G50" s="10">
        <v>6</v>
      </c>
      <c r="H50" s="10">
        <v>16</v>
      </c>
      <c r="I50" s="10">
        <v>5</v>
      </c>
      <c r="J50" s="10">
        <v>5</v>
      </c>
      <c r="K50" s="10">
        <v>0</v>
      </c>
      <c r="L50" s="10">
        <v>55</v>
      </c>
      <c r="M50" s="10">
        <v>35</v>
      </c>
      <c r="N50" s="11">
        <f t="shared" si="0"/>
        <v>100</v>
      </c>
      <c r="O50" s="11">
        <f t="shared" si="1"/>
        <v>2</v>
      </c>
      <c r="P50" s="10"/>
      <c r="Q50" s="10"/>
      <c r="R50" s="10"/>
      <c r="S50" s="10"/>
      <c r="T50" s="10"/>
      <c r="U50" s="10"/>
      <c r="V50" s="10"/>
      <c r="W50" s="10"/>
      <c r="X50" s="10"/>
      <c r="Y50" s="10">
        <v>2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3">
        <v>2</v>
      </c>
      <c r="AX50" s="10"/>
      <c r="AY50" s="10"/>
      <c r="AZ50" s="10"/>
      <c r="BA50" s="10"/>
      <c r="BB50" s="10"/>
      <c r="BC50" s="10"/>
      <c r="BD50" s="10"/>
      <c r="BE50" s="10"/>
      <c r="BF50" s="15">
        <v>2</v>
      </c>
      <c r="BG50" s="12">
        <v>1</v>
      </c>
      <c r="BH50" s="12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>
        <v>50</v>
      </c>
      <c r="BT50" s="10"/>
      <c r="BU50" s="10"/>
      <c r="BV50" s="10"/>
      <c r="BW50" s="10"/>
    </row>
    <row r="51" spans="1:75" ht="15.75" customHeight="1" x14ac:dyDescent="0.2">
      <c r="A51" t="s">
        <v>69</v>
      </c>
      <c r="B51" t="s">
        <v>74</v>
      </c>
      <c r="C51" s="10" t="s">
        <v>71</v>
      </c>
      <c r="D51" s="10">
        <v>44</v>
      </c>
      <c r="E51" s="10">
        <v>2</v>
      </c>
      <c r="F51">
        <v>2020</v>
      </c>
      <c r="G51" s="10">
        <v>12.5</v>
      </c>
      <c r="H51" s="10">
        <v>18</v>
      </c>
      <c r="I51" s="10">
        <v>16</v>
      </c>
      <c r="J51" s="10">
        <v>0</v>
      </c>
      <c r="K51" s="10">
        <v>0</v>
      </c>
      <c r="L51" s="10">
        <v>74</v>
      </c>
      <c r="M51" s="10">
        <v>10</v>
      </c>
      <c r="N51" s="11">
        <f t="shared" si="0"/>
        <v>100</v>
      </c>
      <c r="O51" s="11">
        <f t="shared" si="1"/>
        <v>2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>
        <v>2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3">
        <v>2</v>
      </c>
      <c r="AX51" s="10"/>
      <c r="AY51" s="10"/>
      <c r="AZ51" s="10"/>
      <c r="BA51" s="10"/>
      <c r="BB51" s="10"/>
      <c r="BC51" s="10"/>
      <c r="BD51" s="10"/>
      <c r="BE51" s="10"/>
      <c r="BF51" s="15">
        <v>2</v>
      </c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>
        <v>70</v>
      </c>
      <c r="BT51" s="10"/>
      <c r="BU51" s="10"/>
      <c r="BV51" s="10"/>
      <c r="BW51" s="10"/>
    </row>
    <row r="52" spans="1:75" ht="15.75" customHeight="1" x14ac:dyDescent="0.2">
      <c r="A52" t="s">
        <v>69</v>
      </c>
      <c r="B52" t="s">
        <v>74</v>
      </c>
      <c r="C52" s="10" t="s">
        <v>71</v>
      </c>
      <c r="D52" s="10">
        <v>44</v>
      </c>
      <c r="E52" s="10">
        <v>3</v>
      </c>
      <c r="F52">
        <v>2020</v>
      </c>
      <c r="G52" s="10">
        <v>28</v>
      </c>
      <c r="H52" s="10">
        <v>11</v>
      </c>
      <c r="I52" s="10">
        <v>60</v>
      </c>
      <c r="J52" s="10">
        <v>3</v>
      </c>
      <c r="K52" s="10">
        <v>0</v>
      </c>
      <c r="L52" s="10">
        <v>33</v>
      </c>
      <c r="M52" s="10">
        <v>4</v>
      </c>
      <c r="N52" s="11">
        <f t="shared" si="0"/>
        <v>100</v>
      </c>
      <c r="O52" s="11">
        <f t="shared" si="1"/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s="10">
        <v>3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2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>
        <v>30</v>
      </c>
      <c r="BT52" s="10"/>
      <c r="BU52" s="10"/>
      <c r="BV52" s="10"/>
      <c r="BW52" s="10"/>
    </row>
    <row r="53" spans="1:75" ht="15.75" customHeight="1" x14ac:dyDescent="0.2">
      <c r="A53" t="s">
        <v>69</v>
      </c>
      <c r="B53" t="s">
        <v>74</v>
      </c>
      <c r="C53" s="10" t="s">
        <v>71</v>
      </c>
      <c r="D53" s="10">
        <v>58</v>
      </c>
      <c r="E53" s="10">
        <v>1</v>
      </c>
      <c r="F53">
        <v>2020</v>
      </c>
      <c r="G53" s="10">
        <v>4</v>
      </c>
      <c r="H53" s="10">
        <v>19</v>
      </c>
      <c r="I53" s="10">
        <v>5</v>
      </c>
      <c r="J53" s="10">
        <v>0</v>
      </c>
      <c r="K53" s="10">
        <v>0</v>
      </c>
      <c r="L53" s="10">
        <v>37</v>
      </c>
      <c r="M53" s="10">
        <v>58</v>
      </c>
      <c r="N53" s="11">
        <f t="shared" si="0"/>
        <v>100</v>
      </c>
      <c r="O53" s="11">
        <f t="shared" si="1"/>
        <v>0</v>
      </c>
      <c r="P53" s="10"/>
      <c r="Q53" s="10"/>
      <c r="R53" s="10"/>
      <c r="S53" s="10"/>
      <c r="T53" s="10"/>
      <c r="U53" s="10">
        <v>15</v>
      </c>
      <c r="V53" s="10"/>
      <c r="W53" s="10"/>
      <c r="X53" s="10"/>
      <c r="Y53" s="10">
        <v>2</v>
      </c>
      <c r="Z53" s="10"/>
      <c r="AA53" s="10"/>
      <c r="AB53" s="10"/>
      <c r="AC53" s="10"/>
      <c r="AD53" s="10">
        <v>8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2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>
        <v>10</v>
      </c>
      <c r="BT53" s="10">
        <v>2</v>
      </c>
      <c r="BU53" s="10"/>
      <c r="BV53" s="10"/>
      <c r="BW53" s="10"/>
    </row>
    <row r="54" spans="1:75" ht="15.75" customHeight="1" x14ac:dyDescent="0.2">
      <c r="A54" t="s">
        <v>69</v>
      </c>
      <c r="B54" t="s">
        <v>74</v>
      </c>
      <c r="C54" s="10" t="s">
        <v>71</v>
      </c>
      <c r="D54" s="10">
        <v>58</v>
      </c>
      <c r="E54" s="10">
        <v>2</v>
      </c>
      <c r="F54">
        <v>2020</v>
      </c>
      <c r="G54" s="10">
        <v>14</v>
      </c>
      <c r="H54" s="10">
        <v>28</v>
      </c>
      <c r="I54" s="10">
        <v>5</v>
      </c>
      <c r="J54" s="10">
        <v>0</v>
      </c>
      <c r="K54" s="10">
        <v>0</v>
      </c>
      <c r="L54" s="10">
        <v>30</v>
      </c>
      <c r="M54" s="10">
        <v>65</v>
      </c>
      <c r="N54" s="11">
        <f t="shared" si="0"/>
        <v>100</v>
      </c>
      <c r="O54" s="11">
        <f t="shared" si="1"/>
        <v>0</v>
      </c>
      <c r="P54" s="10"/>
      <c r="Q54" s="10"/>
      <c r="R54" s="10"/>
      <c r="S54" s="10"/>
      <c r="T54" s="10"/>
      <c r="U54" s="10">
        <v>5</v>
      </c>
      <c r="V54" s="10"/>
      <c r="W54" s="10"/>
      <c r="X54" s="10"/>
      <c r="Y54" s="10">
        <v>2</v>
      </c>
      <c r="Z54" s="10"/>
      <c r="AA54" s="10"/>
      <c r="AB54" s="10"/>
      <c r="AC54" s="10"/>
      <c r="AD54" s="10">
        <v>15</v>
      </c>
      <c r="AE54" s="10"/>
      <c r="AF54" s="10"/>
      <c r="AG54" s="10">
        <v>8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2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</row>
    <row r="55" spans="1:75" ht="15.75" customHeight="1" x14ac:dyDescent="0.2">
      <c r="A55" t="s">
        <v>69</v>
      </c>
      <c r="B55" t="s">
        <v>74</v>
      </c>
      <c r="C55" s="10" t="s">
        <v>71</v>
      </c>
      <c r="D55" s="10">
        <v>58</v>
      </c>
      <c r="E55" s="10">
        <v>3</v>
      </c>
      <c r="F55">
        <v>2020</v>
      </c>
      <c r="G55" s="10">
        <v>20.5</v>
      </c>
      <c r="H55" s="10">
        <v>19</v>
      </c>
      <c r="I55" s="10">
        <v>20</v>
      </c>
      <c r="J55" s="10">
        <v>2</v>
      </c>
      <c r="K55" s="10">
        <v>0</v>
      </c>
      <c r="L55" s="10">
        <v>40</v>
      </c>
      <c r="M55" s="10">
        <v>38</v>
      </c>
      <c r="N55" s="11">
        <f t="shared" si="0"/>
        <v>100</v>
      </c>
      <c r="O55" s="11">
        <f t="shared" si="1"/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2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>
        <v>38</v>
      </c>
      <c r="BT55" s="10">
        <v>2</v>
      </c>
      <c r="BU55" s="10"/>
      <c r="BV55" s="10"/>
      <c r="BW55" s="10"/>
    </row>
    <row r="56" spans="1:75" ht="15.75" customHeight="1" x14ac:dyDescent="0.2">
      <c r="A56" t="s">
        <v>69</v>
      </c>
      <c r="B56" t="s">
        <v>74</v>
      </c>
      <c r="C56" s="10" t="s">
        <v>71</v>
      </c>
      <c r="D56" s="10">
        <v>59</v>
      </c>
      <c r="E56" s="10">
        <v>1</v>
      </c>
      <c r="F56">
        <v>2020</v>
      </c>
      <c r="G56" s="10">
        <v>10</v>
      </c>
      <c r="H56" s="10">
        <v>12</v>
      </c>
      <c r="I56" s="10">
        <v>5</v>
      </c>
      <c r="J56" s="10">
        <v>2</v>
      </c>
      <c r="K56" s="10">
        <v>0</v>
      </c>
      <c r="L56" s="10">
        <v>36</v>
      </c>
      <c r="M56" s="10">
        <v>57</v>
      </c>
      <c r="N56" s="11">
        <f t="shared" si="0"/>
        <v>100</v>
      </c>
      <c r="O56" s="11">
        <f t="shared" si="1"/>
        <v>1</v>
      </c>
      <c r="P56" s="10"/>
      <c r="Q56" s="10"/>
      <c r="R56" s="10"/>
      <c r="S56" s="10"/>
      <c r="T56" s="10">
        <v>3</v>
      </c>
      <c r="U56" s="10"/>
      <c r="V56" s="10"/>
      <c r="W56" s="10"/>
      <c r="X56" s="10"/>
      <c r="Y56" s="10">
        <v>10</v>
      </c>
      <c r="Z56" s="10"/>
      <c r="AA56" s="10"/>
      <c r="AB56" s="10"/>
      <c r="AC56" s="10"/>
      <c r="AD56" s="10">
        <v>20</v>
      </c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>
        <v>2</v>
      </c>
      <c r="AT56" s="10"/>
      <c r="AU56" s="10"/>
      <c r="AV56" s="10"/>
      <c r="AW56" s="13">
        <v>1</v>
      </c>
      <c r="AX56" s="10"/>
      <c r="AY56" s="10"/>
      <c r="AZ56" s="10"/>
      <c r="BA56" s="10"/>
      <c r="BB56" s="10"/>
      <c r="BC56" s="10"/>
      <c r="BD56" s="10"/>
      <c r="BE56" s="10"/>
      <c r="BF56" s="15">
        <v>1</v>
      </c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</row>
    <row r="57" spans="1:75" ht="15.75" customHeight="1" x14ac:dyDescent="0.2">
      <c r="A57" t="s">
        <v>69</v>
      </c>
      <c r="B57" t="s">
        <v>74</v>
      </c>
      <c r="C57" s="10" t="s">
        <v>71</v>
      </c>
      <c r="D57" s="10">
        <v>59</v>
      </c>
      <c r="E57" s="10">
        <v>2</v>
      </c>
      <c r="F57">
        <v>2020</v>
      </c>
      <c r="G57" s="10">
        <v>17.5</v>
      </c>
      <c r="H57" s="10">
        <v>25</v>
      </c>
      <c r="I57" s="10">
        <v>0</v>
      </c>
      <c r="J57" s="10">
        <v>0</v>
      </c>
      <c r="K57" s="10">
        <v>0</v>
      </c>
      <c r="L57" s="10">
        <v>25</v>
      </c>
      <c r="M57" s="10">
        <v>75</v>
      </c>
      <c r="N57" s="11">
        <f t="shared" si="0"/>
        <v>100</v>
      </c>
      <c r="O57" s="11">
        <f t="shared" si="1"/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>
        <v>21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2"/>
      <c r="BG57" s="10"/>
      <c r="BH57" s="10"/>
      <c r="BI57" s="10"/>
      <c r="BJ57" s="10"/>
      <c r="BK57" s="10"/>
      <c r="BL57" s="10"/>
      <c r="BM57" s="10"/>
      <c r="BN57" s="10"/>
      <c r="BO57" s="10"/>
      <c r="BP57" s="10">
        <v>4</v>
      </c>
      <c r="BQ57" s="10"/>
      <c r="BR57" s="10"/>
      <c r="BS57" s="10"/>
      <c r="BT57" s="10"/>
      <c r="BU57" s="10"/>
      <c r="BV57" s="10"/>
      <c r="BW57" s="10"/>
    </row>
    <row r="58" spans="1:75" ht="15.75" customHeight="1" x14ac:dyDescent="0.2">
      <c r="A58" t="s">
        <v>69</v>
      </c>
      <c r="B58" t="s">
        <v>74</v>
      </c>
      <c r="C58" s="10" t="s">
        <v>71</v>
      </c>
      <c r="D58" s="10">
        <v>59</v>
      </c>
      <c r="E58" s="10">
        <v>3</v>
      </c>
      <c r="F58">
        <v>2020</v>
      </c>
      <c r="G58" s="10">
        <v>29.5</v>
      </c>
      <c r="H58" s="12">
        <v>25</v>
      </c>
      <c r="I58" s="10">
        <v>10</v>
      </c>
      <c r="J58" s="10">
        <v>0</v>
      </c>
      <c r="K58" s="10">
        <v>0</v>
      </c>
      <c r="L58" s="10">
        <v>25</v>
      </c>
      <c r="M58" s="10">
        <v>65</v>
      </c>
      <c r="N58" s="11">
        <f t="shared" si="0"/>
        <v>100</v>
      </c>
      <c r="O58" s="11">
        <f t="shared" si="1"/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>
        <v>5</v>
      </c>
      <c r="AZ58" s="10"/>
      <c r="BA58" s="10"/>
      <c r="BB58" s="10"/>
      <c r="BC58" s="10"/>
      <c r="BD58" s="10"/>
      <c r="BE58" s="10"/>
      <c r="BF58" s="12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>
        <v>20</v>
      </c>
      <c r="BT58" s="10"/>
      <c r="BU58" s="10"/>
      <c r="BV58" s="10"/>
      <c r="BW58" s="10"/>
    </row>
    <row r="59" spans="1:75" ht="15.75" customHeight="1" x14ac:dyDescent="0.2">
      <c r="A59" t="s">
        <v>69</v>
      </c>
      <c r="B59" t="s">
        <v>74</v>
      </c>
      <c r="C59" s="10" t="s">
        <v>71</v>
      </c>
      <c r="D59" s="10">
        <v>60</v>
      </c>
      <c r="E59" s="10">
        <v>1</v>
      </c>
      <c r="F59">
        <v>2020</v>
      </c>
      <c r="G59" s="10">
        <v>7</v>
      </c>
      <c r="H59" s="10">
        <v>13</v>
      </c>
      <c r="I59" s="10">
        <v>0</v>
      </c>
      <c r="J59" s="10">
        <v>0</v>
      </c>
      <c r="K59" s="10">
        <v>0</v>
      </c>
      <c r="L59" s="10">
        <v>27</v>
      </c>
      <c r="M59" s="10">
        <v>73</v>
      </c>
      <c r="N59" s="11">
        <f t="shared" si="0"/>
        <v>100</v>
      </c>
      <c r="O59" s="11">
        <f t="shared" si="1"/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s="10">
        <v>4</v>
      </c>
      <c r="Z59" s="10"/>
      <c r="AA59" s="10"/>
      <c r="AB59" s="10"/>
      <c r="AC59" s="10"/>
      <c r="AD59" s="10">
        <v>20</v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>
        <v>2</v>
      </c>
      <c r="AZ59" s="10"/>
      <c r="BA59" s="10"/>
      <c r="BB59" s="10"/>
      <c r="BC59" s="10"/>
      <c r="BD59" s="10"/>
      <c r="BE59" s="10"/>
      <c r="BF59" s="12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>
        <v>1</v>
      </c>
      <c r="BU59" s="10"/>
      <c r="BV59" s="10"/>
      <c r="BW59" s="10"/>
    </row>
    <row r="60" spans="1:75" ht="15.75" customHeight="1" x14ac:dyDescent="0.2">
      <c r="A60" t="s">
        <v>69</v>
      </c>
      <c r="B60" t="s">
        <v>74</v>
      </c>
      <c r="C60" s="10" t="s">
        <v>71</v>
      </c>
      <c r="D60" s="10">
        <v>60</v>
      </c>
      <c r="E60" s="10">
        <v>2</v>
      </c>
      <c r="F60">
        <v>2020</v>
      </c>
      <c r="G60" s="10"/>
      <c r="H60" s="10">
        <v>5</v>
      </c>
      <c r="I60" s="10">
        <v>15</v>
      </c>
      <c r="J60" s="10">
        <v>0</v>
      </c>
      <c r="K60" s="10">
        <v>0</v>
      </c>
      <c r="L60" s="10">
        <v>11</v>
      </c>
      <c r="M60" s="10">
        <v>74</v>
      </c>
      <c r="N60" s="11">
        <f t="shared" si="0"/>
        <v>100</v>
      </c>
      <c r="O60" s="11">
        <f t="shared" si="1"/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s="10">
        <v>5</v>
      </c>
      <c r="Z60" s="10"/>
      <c r="AA60" s="10"/>
      <c r="AB60" s="10"/>
      <c r="AC60" s="10"/>
      <c r="AD60" s="10">
        <v>3</v>
      </c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>
        <v>2</v>
      </c>
      <c r="AZ60" s="10"/>
      <c r="BA60" s="10"/>
      <c r="BB60" s="10"/>
      <c r="BC60" s="10"/>
      <c r="BD60" s="10"/>
      <c r="BE60" s="10"/>
      <c r="BF60" s="12"/>
      <c r="BG60" s="12">
        <v>1</v>
      </c>
      <c r="BH60" s="12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</row>
    <row r="61" spans="1:75" ht="15.75" customHeight="1" x14ac:dyDescent="0.2">
      <c r="A61" t="s">
        <v>69</v>
      </c>
      <c r="B61" t="s">
        <v>74</v>
      </c>
      <c r="C61" s="10" t="s">
        <v>71</v>
      </c>
      <c r="D61" s="10">
        <v>60</v>
      </c>
      <c r="E61" s="10">
        <v>3</v>
      </c>
      <c r="F61">
        <v>2020</v>
      </c>
      <c r="G61" s="10">
        <v>23</v>
      </c>
      <c r="H61" s="10">
        <v>24</v>
      </c>
      <c r="I61" s="10">
        <v>0</v>
      </c>
      <c r="J61" s="10">
        <v>0</v>
      </c>
      <c r="K61" s="10">
        <v>0</v>
      </c>
      <c r="L61" s="10">
        <v>80</v>
      </c>
      <c r="M61" s="10">
        <v>20</v>
      </c>
      <c r="N61" s="11">
        <f t="shared" si="0"/>
        <v>100</v>
      </c>
      <c r="O61" s="11">
        <f t="shared" si="1"/>
        <v>20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>
        <v>84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>
        <v>15</v>
      </c>
      <c r="AZ61" s="10"/>
      <c r="BA61" s="10"/>
      <c r="BB61" s="10"/>
      <c r="BC61" s="10"/>
      <c r="BD61" s="10"/>
      <c r="BE61" s="10"/>
      <c r="BF61" s="12"/>
      <c r="BG61" s="10"/>
      <c r="BH61" s="10"/>
      <c r="BI61" s="10"/>
      <c r="BJ61" s="10"/>
      <c r="BK61" s="10"/>
      <c r="BL61" s="10"/>
      <c r="BM61" s="10">
        <v>1</v>
      </c>
      <c r="BN61" s="10"/>
      <c r="BO61" s="10"/>
      <c r="BP61" s="10"/>
      <c r="BQ61" s="10"/>
      <c r="BR61" s="10"/>
      <c r="BS61" s="10"/>
      <c r="BT61" s="10"/>
      <c r="BU61" s="10"/>
      <c r="BV61" s="10"/>
      <c r="BW61" s="10"/>
    </row>
    <row r="62" spans="1:75" ht="15.75" customHeight="1" x14ac:dyDescent="0.2">
      <c r="A62" t="s">
        <v>69</v>
      </c>
      <c r="B62" t="s">
        <v>74</v>
      </c>
      <c r="C62" s="10" t="s">
        <v>78</v>
      </c>
      <c r="D62" s="10">
        <v>17</v>
      </c>
      <c r="E62" s="10">
        <v>1</v>
      </c>
      <c r="F62">
        <v>2020</v>
      </c>
      <c r="G62" s="10">
        <v>7</v>
      </c>
      <c r="H62" s="10">
        <v>18</v>
      </c>
      <c r="I62" s="10">
        <v>0</v>
      </c>
      <c r="J62" s="10">
        <v>0</v>
      </c>
      <c r="K62" s="10">
        <v>0</v>
      </c>
      <c r="L62" s="10">
        <v>40</v>
      </c>
      <c r="M62" s="10">
        <v>60</v>
      </c>
      <c r="N62" s="11">
        <f t="shared" si="0"/>
        <v>100</v>
      </c>
      <c r="O62" s="11">
        <f t="shared" si="1"/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>
        <v>30</v>
      </c>
      <c r="AE62" s="10"/>
      <c r="AF62" s="10"/>
      <c r="AG62" s="10"/>
      <c r="AH62" s="10"/>
      <c r="AI62" s="10"/>
      <c r="AJ62" s="10"/>
      <c r="AK62" s="10">
        <v>4</v>
      </c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2"/>
      <c r="BG62" s="12">
        <v>1</v>
      </c>
      <c r="BH62" s="12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>
        <v>5</v>
      </c>
      <c r="BU62" s="10"/>
      <c r="BV62" s="10"/>
      <c r="BW62" s="10"/>
    </row>
    <row r="63" spans="1:75" ht="15.75" customHeight="1" x14ac:dyDescent="0.2">
      <c r="A63" t="s">
        <v>69</v>
      </c>
      <c r="B63" t="s">
        <v>74</v>
      </c>
      <c r="C63" s="10" t="s">
        <v>78</v>
      </c>
      <c r="D63" s="10">
        <v>17</v>
      </c>
      <c r="E63" s="10">
        <v>2</v>
      </c>
      <c r="F63">
        <v>2020</v>
      </c>
      <c r="G63" s="10">
        <v>18.5</v>
      </c>
      <c r="H63" s="10">
        <v>36</v>
      </c>
      <c r="I63" s="10">
        <v>5</v>
      </c>
      <c r="J63" s="10">
        <v>10</v>
      </c>
      <c r="K63" s="10">
        <v>5</v>
      </c>
      <c r="L63" s="10">
        <v>25</v>
      </c>
      <c r="M63" s="10">
        <v>55</v>
      </c>
      <c r="N63" s="11">
        <f t="shared" si="0"/>
        <v>100</v>
      </c>
      <c r="O63" s="11">
        <f t="shared" si="1"/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>
        <v>2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2"/>
      <c r="BG63" s="10"/>
      <c r="BH63" s="10"/>
      <c r="BI63" s="10"/>
      <c r="BJ63" s="10">
        <v>2</v>
      </c>
      <c r="BK63" s="10"/>
      <c r="BL63" s="10"/>
      <c r="BM63" s="10"/>
      <c r="BN63" s="10"/>
      <c r="BO63" s="10"/>
      <c r="BP63" s="10"/>
      <c r="BQ63" s="10"/>
      <c r="BR63" s="10"/>
      <c r="BS63" s="10">
        <v>20</v>
      </c>
      <c r="BT63" s="10"/>
      <c r="BU63" s="10"/>
      <c r="BV63" s="10"/>
      <c r="BW63" s="10"/>
    </row>
    <row r="64" spans="1:75" ht="15.75" customHeight="1" x14ac:dyDescent="0.2">
      <c r="A64" t="s">
        <v>69</v>
      </c>
      <c r="B64" t="s">
        <v>74</v>
      </c>
      <c r="C64" s="10" t="s">
        <v>78</v>
      </c>
      <c r="D64" s="10">
        <v>17</v>
      </c>
      <c r="E64" s="10">
        <v>3</v>
      </c>
      <c r="F64">
        <v>2020</v>
      </c>
      <c r="G64" s="10">
        <v>24</v>
      </c>
      <c r="H64" s="10">
        <v>15</v>
      </c>
      <c r="I64" s="10">
        <v>0</v>
      </c>
      <c r="J64" s="10">
        <v>20</v>
      </c>
      <c r="K64" s="10">
        <v>0</v>
      </c>
      <c r="L64" s="10">
        <v>42</v>
      </c>
      <c r="M64" s="10">
        <v>38</v>
      </c>
      <c r="N64" s="11">
        <f t="shared" si="0"/>
        <v>100</v>
      </c>
      <c r="O64" s="11">
        <f t="shared" si="1"/>
        <v>1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>
        <v>1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>
        <v>1</v>
      </c>
      <c r="AT64" s="1">
        <v>1</v>
      </c>
      <c r="AU64" s="10">
        <v>1</v>
      </c>
      <c r="AV64" s="10"/>
      <c r="AW64" s="10"/>
      <c r="AX64" s="10"/>
      <c r="AY64" s="10"/>
      <c r="AZ64" s="10"/>
      <c r="BA64" s="10"/>
      <c r="BB64" s="10"/>
      <c r="BC64" s="10"/>
      <c r="BD64" s="10">
        <v>4</v>
      </c>
      <c r="BE64" s="10"/>
      <c r="BF64" s="12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>
        <v>30</v>
      </c>
      <c r="BT64" s="10">
        <v>5</v>
      </c>
      <c r="BU64" s="10"/>
      <c r="BV64" s="10"/>
      <c r="BW64" s="10"/>
    </row>
    <row r="65" spans="1:75" ht="15.75" customHeight="1" x14ac:dyDescent="0.2">
      <c r="A65" t="s">
        <v>69</v>
      </c>
      <c r="B65" t="s">
        <v>74</v>
      </c>
      <c r="C65" s="10" t="s">
        <v>78</v>
      </c>
      <c r="D65" s="10">
        <v>18</v>
      </c>
      <c r="E65" s="10">
        <v>1</v>
      </c>
      <c r="F65">
        <v>2020</v>
      </c>
      <c r="G65" s="10">
        <v>7</v>
      </c>
      <c r="H65" s="10">
        <v>21</v>
      </c>
      <c r="I65" s="10">
        <v>15</v>
      </c>
      <c r="J65" s="10">
        <v>0</v>
      </c>
      <c r="K65" s="10">
        <v>0</v>
      </c>
      <c r="L65" s="10">
        <v>55</v>
      </c>
      <c r="M65" s="10">
        <v>30</v>
      </c>
      <c r="N65" s="11">
        <f t="shared" si="0"/>
        <v>100</v>
      </c>
      <c r="O65" s="11">
        <f t="shared" si="1"/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>
        <v>55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2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</row>
    <row r="66" spans="1:75" ht="15.75" customHeight="1" x14ac:dyDescent="0.2">
      <c r="A66" t="s">
        <v>69</v>
      </c>
      <c r="B66" t="s">
        <v>74</v>
      </c>
      <c r="C66" s="10" t="s">
        <v>78</v>
      </c>
      <c r="D66" s="10">
        <v>18</v>
      </c>
      <c r="E66" s="10">
        <v>2</v>
      </c>
      <c r="F66">
        <v>2020</v>
      </c>
      <c r="G66" s="10">
        <v>16</v>
      </c>
      <c r="H66" s="10">
        <v>14</v>
      </c>
      <c r="I66" s="10">
        <v>10</v>
      </c>
      <c r="J66" s="10">
        <v>0</v>
      </c>
      <c r="K66" s="10">
        <v>0</v>
      </c>
      <c r="L66" s="10">
        <v>75</v>
      </c>
      <c r="M66" s="10">
        <v>15</v>
      </c>
      <c r="N66" s="11">
        <f t="shared" si="0"/>
        <v>100</v>
      </c>
      <c r="O66" s="11">
        <f t="shared" si="1"/>
        <v>0</v>
      </c>
      <c r="P66" s="10"/>
      <c r="Q66" s="10"/>
      <c r="R66" s="10"/>
      <c r="S66" s="10"/>
      <c r="T66" s="10"/>
      <c r="U66" s="10"/>
      <c r="V66" s="10"/>
      <c r="W66" s="10"/>
      <c r="X66" s="10">
        <v>5</v>
      </c>
      <c r="Y66" s="10"/>
      <c r="Z66" s="10"/>
      <c r="AA66" s="10"/>
      <c r="AB66" s="10"/>
      <c r="AC66" s="10"/>
      <c r="AD66" s="10">
        <v>60</v>
      </c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2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>
        <v>5</v>
      </c>
      <c r="BT66" s="10">
        <v>5</v>
      </c>
      <c r="BU66" s="10"/>
      <c r="BV66" s="10"/>
      <c r="BW66" s="10"/>
    </row>
    <row r="67" spans="1:75" ht="15.75" customHeight="1" x14ac:dyDescent="0.2">
      <c r="A67" t="s">
        <v>69</v>
      </c>
      <c r="B67" t="s">
        <v>74</v>
      </c>
      <c r="C67" s="10" t="s">
        <v>78</v>
      </c>
      <c r="D67" s="10">
        <v>18</v>
      </c>
      <c r="E67" s="10">
        <v>3</v>
      </c>
      <c r="F67">
        <v>2020</v>
      </c>
      <c r="G67" s="10">
        <v>28</v>
      </c>
      <c r="H67" s="10">
        <v>25</v>
      </c>
      <c r="I67" s="10">
        <v>0</v>
      </c>
      <c r="J67" s="10">
        <v>0</v>
      </c>
      <c r="K67" s="10">
        <v>0</v>
      </c>
      <c r="L67" s="10">
        <v>70</v>
      </c>
      <c r="M67" s="10">
        <v>30</v>
      </c>
      <c r="N67" s="11">
        <f t="shared" si="0"/>
        <v>100</v>
      </c>
      <c r="O67" s="11">
        <f t="shared" si="1"/>
        <v>2</v>
      </c>
      <c r="P67" s="10"/>
      <c r="Q67" s="10"/>
      <c r="R67" s="10"/>
      <c r="S67" s="10"/>
      <c r="T67" s="10"/>
      <c r="U67" s="10"/>
      <c r="V67" s="10"/>
      <c r="W67" s="12">
        <v>2</v>
      </c>
      <c r="X67" s="10"/>
      <c r="Y67" s="10"/>
      <c r="Z67" s="10"/>
      <c r="AA67" s="10"/>
      <c r="AB67" s="10"/>
      <c r="AC67" s="10"/>
      <c r="AD67" s="10">
        <v>40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>
        <v>10</v>
      </c>
      <c r="AQ67" s="10"/>
      <c r="AR67" s="10"/>
      <c r="AS67" s="10"/>
      <c r="AT67" s="10"/>
      <c r="AU67" s="10"/>
      <c r="AV67" s="10"/>
      <c r="AW67" s="10"/>
      <c r="AX67" s="10"/>
      <c r="AY67" s="10">
        <v>15</v>
      </c>
      <c r="AZ67" s="10"/>
      <c r="BA67" s="10"/>
      <c r="BB67" s="10"/>
      <c r="BC67" s="10"/>
      <c r="BD67" s="10"/>
      <c r="BE67" s="10"/>
      <c r="BF67" s="12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>
        <v>5</v>
      </c>
      <c r="BU67" s="10"/>
      <c r="BV67" s="10"/>
      <c r="BW67" s="10"/>
    </row>
    <row r="68" spans="1:75" ht="15.75" customHeight="1" x14ac:dyDescent="0.2">
      <c r="A68" t="s">
        <v>69</v>
      </c>
      <c r="B68" t="s">
        <v>74</v>
      </c>
      <c r="C68" s="10" t="s">
        <v>78</v>
      </c>
      <c r="D68" s="10">
        <v>19</v>
      </c>
      <c r="E68" s="10">
        <v>1</v>
      </c>
      <c r="F68">
        <v>2020</v>
      </c>
      <c r="G68" s="10">
        <v>9</v>
      </c>
      <c r="H68" s="10">
        <v>26</v>
      </c>
      <c r="I68" s="10">
        <v>35</v>
      </c>
      <c r="J68" s="10">
        <v>0</v>
      </c>
      <c r="K68" s="10">
        <v>0</v>
      </c>
      <c r="L68" s="10">
        <v>29</v>
      </c>
      <c r="M68" s="10">
        <v>36</v>
      </c>
      <c r="N68" s="11">
        <f t="shared" si="0"/>
        <v>100</v>
      </c>
      <c r="O68" s="11">
        <f t="shared" si="1"/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>
        <v>20</v>
      </c>
      <c r="AE68" s="10"/>
      <c r="AF68" s="10"/>
      <c r="AG68" s="10"/>
      <c r="AH68" s="10"/>
      <c r="AI68" s="10"/>
      <c r="AJ68" s="12">
        <v>1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>
        <v>5</v>
      </c>
      <c r="AZ68" s="10"/>
      <c r="BA68" s="10"/>
      <c r="BB68" s="10"/>
      <c r="BC68" s="10"/>
      <c r="BD68" s="10"/>
      <c r="BE68" s="10"/>
      <c r="BF68" s="12"/>
      <c r="BG68" s="12"/>
      <c r="BH68" s="12">
        <v>1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>
        <v>2</v>
      </c>
      <c r="BU68" s="10"/>
      <c r="BV68" s="10"/>
      <c r="BW68" s="10"/>
    </row>
    <row r="69" spans="1:75" ht="15.75" customHeight="1" x14ac:dyDescent="0.2">
      <c r="A69" t="s">
        <v>69</v>
      </c>
      <c r="B69" t="s">
        <v>74</v>
      </c>
      <c r="C69" s="10" t="s">
        <v>78</v>
      </c>
      <c r="D69" s="10">
        <v>19</v>
      </c>
      <c r="E69" s="10">
        <v>2</v>
      </c>
      <c r="F69">
        <v>2020</v>
      </c>
      <c r="G69" s="10">
        <v>16.3</v>
      </c>
      <c r="H69" s="10">
        <v>13</v>
      </c>
      <c r="I69" s="10">
        <v>5</v>
      </c>
      <c r="J69" s="10">
        <v>5</v>
      </c>
      <c r="K69" s="10">
        <v>0</v>
      </c>
      <c r="L69" s="10">
        <v>73</v>
      </c>
      <c r="M69" s="10">
        <v>17</v>
      </c>
      <c r="N69" s="11">
        <f t="shared" si="0"/>
        <v>100</v>
      </c>
      <c r="O69" s="11">
        <f t="shared" si="1"/>
        <v>0</v>
      </c>
      <c r="P69" s="10"/>
      <c r="Q69" s="10">
        <v>3</v>
      </c>
      <c r="R69" s="10"/>
      <c r="S69" s="10"/>
      <c r="T69" s="10"/>
      <c r="U69" s="10">
        <v>40</v>
      </c>
      <c r="V69" s="10"/>
      <c r="W69" s="10"/>
      <c r="X69" s="10"/>
      <c r="Y69" s="10">
        <v>2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2">
        <v>2</v>
      </c>
      <c r="BF69" s="12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>
        <v>24</v>
      </c>
      <c r="BT69" s="10">
        <v>2</v>
      </c>
      <c r="BU69" s="10"/>
      <c r="BV69" s="10"/>
      <c r="BW69" s="10"/>
    </row>
    <row r="70" spans="1:75" ht="15.75" customHeight="1" x14ac:dyDescent="0.2">
      <c r="A70" t="s">
        <v>69</v>
      </c>
      <c r="B70" t="s">
        <v>74</v>
      </c>
      <c r="C70" s="10" t="s">
        <v>78</v>
      </c>
      <c r="D70" s="10">
        <v>19</v>
      </c>
      <c r="E70" s="10">
        <v>3</v>
      </c>
      <c r="F70">
        <v>2020</v>
      </c>
      <c r="G70" s="10">
        <v>21</v>
      </c>
      <c r="H70" s="10">
        <v>32</v>
      </c>
      <c r="I70" s="10">
        <v>5</v>
      </c>
      <c r="J70" s="10">
        <v>0</v>
      </c>
      <c r="K70" s="10">
        <v>0</v>
      </c>
      <c r="L70" s="10">
        <v>72</v>
      </c>
      <c r="M70" s="10">
        <v>23</v>
      </c>
      <c r="N70" s="11">
        <f t="shared" si="0"/>
        <v>100</v>
      </c>
      <c r="O70" s="11">
        <f t="shared" si="1"/>
        <v>4</v>
      </c>
      <c r="P70" s="10"/>
      <c r="Q70" s="10"/>
      <c r="R70" s="10">
        <v>3</v>
      </c>
      <c r="S70" s="10"/>
      <c r="T70" s="10"/>
      <c r="U70" s="10">
        <v>2</v>
      </c>
      <c r="V70" s="10"/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>
        <v>1</v>
      </c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>
        <v>3</v>
      </c>
      <c r="AZ70" s="10"/>
      <c r="BA70" s="10"/>
      <c r="BB70" s="10"/>
      <c r="BC70" s="10"/>
      <c r="BD70" s="10"/>
      <c r="BE70" s="10"/>
      <c r="BF70" s="12"/>
      <c r="BG70" s="10"/>
      <c r="BH70" s="10">
        <v>1</v>
      </c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>
        <v>60</v>
      </c>
      <c r="BT70" s="10">
        <v>5</v>
      </c>
      <c r="BU70" s="10"/>
      <c r="BV70" s="10"/>
      <c r="BW70" s="10"/>
    </row>
    <row r="71" spans="1:75" ht="15.75" customHeight="1" x14ac:dyDescent="0.2">
      <c r="A71" t="s">
        <v>69</v>
      </c>
      <c r="B71" t="s">
        <v>74</v>
      </c>
      <c r="C71" s="10" t="s">
        <v>78</v>
      </c>
      <c r="D71" s="10">
        <v>21</v>
      </c>
      <c r="E71" s="10">
        <v>1</v>
      </c>
      <c r="F71">
        <v>2020</v>
      </c>
      <c r="G71" s="10">
        <v>7</v>
      </c>
      <c r="H71" s="10">
        <v>22</v>
      </c>
      <c r="I71" s="10">
        <v>45</v>
      </c>
      <c r="J71" s="10">
        <v>0</v>
      </c>
      <c r="K71" s="10">
        <v>0</v>
      </c>
      <c r="L71" s="10">
        <v>11</v>
      </c>
      <c r="M71" s="10">
        <v>44</v>
      </c>
      <c r="N71" s="11">
        <f t="shared" si="0"/>
        <v>100</v>
      </c>
      <c r="O71" s="11">
        <f t="shared" si="1"/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>
        <v>10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2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>
        <v>1</v>
      </c>
      <c r="BT71" s="10"/>
      <c r="BU71" s="10"/>
      <c r="BV71" s="10"/>
      <c r="BW71" s="10"/>
    </row>
    <row r="72" spans="1:75" ht="15.75" customHeight="1" x14ac:dyDescent="0.2">
      <c r="A72" t="s">
        <v>69</v>
      </c>
      <c r="B72" t="s">
        <v>74</v>
      </c>
      <c r="C72" s="10" t="s">
        <v>78</v>
      </c>
      <c r="D72" s="10">
        <v>21</v>
      </c>
      <c r="E72" s="10">
        <v>2</v>
      </c>
      <c r="F72">
        <v>2020</v>
      </c>
      <c r="G72" s="10">
        <v>11</v>
      </c>
      <c r="H72" s="10">
        <v>18</v>
      </c>
      <c r="I72" s="10">
        <v>10</v>
      </c>
      <c r="J72" s="10">
        <v>0</v>
      </c>
      <c r="K72" s="10">
        <v>0</v>
      </c>
      <c r="L72" s="10">
        <v>50</v>
      </c>
      <c r="M72" s="10">
        <v>40</v>
      </c>
      <c r="N72" s="11">
        <f t="shared" si="0"/>
        <v>100</v>
      </c>
      <c r="O72" s="11">
        <f t="shared" si="1"/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s="10">
        <v>2</v>
      </c>
      <c r="Z72" s="10"/>
      <c r="AA72" s="10"/>
      <c r="AB72" s="10"/>
      <c r="AC72" s="10"/>
      <c r="AD72" s="10">
        <v>40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>
        <v>4</v>
      </c>
      <c r="AQ72" s="10"/>
      <c r="AR72" s="10"/>
      <c r="AS72" s="10"/>
      <c r="AT72" s="10"/>
      <c r="AU72" s="10">
        <v>1</v>
      </c>
      <c r="AV72" s="10"/>
      <c r="AW72" s="10"/>
      <c r="AX72" s="10"/>
      <c r="AY72" s="10">
        <v>1</v>
      </c>
      <c r="AZ72" s="10"/>
      <c r="BA72" s="10"/>
      <c r="BB72" s="10"/>
      <c r="BC72" s="10"/>
      <c r="BD72" s="10"/>
      <c r="BE72" s="10"/>
      <c r="BF72" s="12"/>
      <c r="BG72" s="10"/>
      <c r="BH72" s="10"/>
      <c r="BI72" s="10"/>
      <c r="BJ72" s="10"/>
      <c r="BK72" s="10"/>
      <c r="BL72" s="10"/>
      <c r="BM72" s="10"/>
      <c r="BN72" s="10"/>
      <c r="BO72" s="10"/>
      <c r="BP72" s="10">
        <v>1</v>
      </c>
      <c r="BQ72" s="10"/>
      <c r="BR72" s="10"/>
      <c r="BS72" s="10">
        <v>1</v>
      </c>
      <c r="BT72" s="10"/>
      <c r="BU72" s="10"/>
      <c r="BV72" s="10"/>
      <c r="BW72" s="10"/>
    </row>
    <row r="73" spans="1:75" ht="15.75" customHeight="1" x14ac:dyDescent="0.2">
      <c r="A73" t="s">
        <v>69</v>
      </c>
      <c r="B73" t="s">
        <v>74</v>
      </c>
      <c r="C73" s="10" t="s">
        <v>78</v>
      </c>
      <c r="D73" s="10">
        <v>21</v>
      </c>
      <c r="E73" s="10">
        <v>3</v>
      </c>
      <c r="F73">
        <v>2020</v>
      </c>
      <c r="G73" s="10">
        <v>19</v>
      </c>
      <c r="H73" s="10">
        <v>35</v>
      </c>
      <c r="I73" s="10">
        <v>30</v>
      </c>
      <c r="J73" s="10">
        <v>0</v>
      </c>
      <c r="K73" s="10">
        <v>0</v>
      </c>
      <c r="L73" s="10">
        <v>25</v>
      </c>
      <c r="M73" s="10">
        <v>45</v>
      </c>
      <c r="N73" s="11">
        <f t="shared" si="0"/>
        <v>100</v>
      </c>
      <c r="O73" s="11">
        <f t="shared" si="1"/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2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>
        <v>20</v>
      </c>
      <c r="AZ73" s="10"/>
      <c r="BA73" s="10"/>
      <c r="BB73" s="10"/>
      <c r="BC73" s="10"/>
      <c r="BD73" s="10"/>
      <c r="BE73" s="10"/>
      <c r="BF73" s="12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>
        <v>3</v>
      </c>
      <c r="BT73" s="10"/>
      <c r="BU73" s="10"/>
      <c r="BV73" s="10"/>
      <c r="BW73" s="10"/>
    </row>
    <row r="74" spans="1:75" ht="15.75" customHeight="1" x14ac:dyDescent="0.2">
      <c r="A74" t="s">
        <v>69</v>
      </c>
      <c r="B74" t="s">
        <v>74</v>
      </c>
      <c r="C74" s="10" t="s">
        <v>78</v>
      </c>
      <c r="D74" s="10">
        <v>22</v>
      </c>
      <c r="E74" s="10">
        <v>1</v>
      </c>
      <c r="F74">
        <v>2020</v>
      </c>
      <c r="G74" s="10">
        <v>7</v>
      </c>
      <c r="H74" s="10">
        <v>24</v>
      </c>
      <c r="I74" s="10">
        <v>30</v>
      </c>
      <c r="J74" s="10">
        <v>0</v>
      </c>
      <c r="K74" s="10">
        <v>0</v>
      </c>
      <c r="L74" s="10">
        <v>60</v>
      </c>
      <c r="M74" s="10">
        <v>10</v>
      </c>
      <c r="N74" s="11">
        <f t="shared" si="0"/>
        <v>100</v>
      </c>
      <c r="O74" s="11">
        <f t="shared" si="1"/>
        <v>0</v>
      </c>
      <c r="P74" s="10"/>
      <c r="Q74" s="10"/>
      <c r="R74" s="10"/>
      <c r="S74" s="10"/>
      <c r="T74" s="10"/>
      <c r="U74" s="10"/>
      <c r="V74" s="10">
        <v>5</v>
      </c>
      <c r="W74" s="10"/>
      <c r="X74" s="10"/>
      <c r="Y74" s="10">
        <v>5</v>
      </c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2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>
        <v>50</v>
      </c>
      <c r="BT74" s="10"/>
      <c r="BU74" s="10"/>
      <c r="BV74" s="10"/>
      <c r="BW74" s="10"/>
    </row>
    <row r="75" spans="1:75" ht="15.75" customHeight="1" x14ac:dyDescent="0.2">
      <c r="A75" t="s">
        <v>69</v>
      </c>
      <c r="B75" t="s">
        <v>74</v>
      </c>
      <c r="C75" s="10" t="s">
        <v>78</v>
      </c>
      <c r="D75" s="10">
        <v>22</v>
      </c>
      <c r="E75" s="10">
        <v>2</v>
      </c>
      <c r="F75">
        <v>2020</v>
      </c>
      <c r="G75" s="10">
        <v>14</v>
      </c>
      <c r="H75" s="10">
        <v>18</v>
      </c>
      <c r="I75" s="10">
        <v>15</v>
      </c>
      <c r="J75" s="10">
        <v>0</v>
      </c>
      <c r="K75" s="10">
        <v>0</v>
      </c>
      <c r="L75" s="10">
        <v>35</v>
      </c>
      <c r="M75" s="10">
        <v>50</v>
      </c>
      <c r="N75" s="11">
        <f t="shared" si="0"/>
        <v>100</v>
      </c>
      <c r="O75" s="11">
        <f t="shared" si="1"/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>
        <v>20</v>
      </c>
      <c r="AE75" s="10">
        <v>5</v>
      </c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2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>
        <v>10</v>
      </c>
      <c r="BT75" s="10"/>
      <c r="BU75" s="10"/>
      <c r="BV75" s="10"/>
      <c r="BW75" s="10"/>
    </row>
    <row r="76" spans="1:75" ht="15.75" customHeight="1" x14ac:dyDescent="0.2">
      <c r="A76" t="s">
        <v>69</v>
      </c>
      <c r="B76" t="s">
        <v>74</v>
      </c>
      <c r="C76" s="10" t="s">
        <v>78</v>
      </c>
      <c r="D76" s="10">
        <v>22</v>
      </c>
      <c r="E76" s="10">
        <v>3</v>
      </c>
      <c r="F76">
        <v>2020</v>
      </c>
      <c r="G76" s="10">
        <v>21</v>
      </c>
      <c r="H76" s="10">
        <v>18</v>
      </c>
      <c r="I76" s="10">
        <v>50</v>
      </c>
      <c r="J76" s="10">
        <v>5</v>
      </c>
      <c r="K76" s="10">
        <v>0</v>
      </c>
      <c r="L76" s="10">
        <v>15</v>
      </c>
      <c r="M76" s="10">
        <v>30</v>
      </c>
      <c r="N76" s="11">
        <f t="shared" si="0"/>
        <v>100</v>
      </c>
      <c r="O76" s="11">
        <f t="shared" si="1"/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>
        <v>2</v>
      </c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>
        <v>1</v>
      </c>
      <c r="AQ76" s="10"/>
      <c r="AR76" s="10"/>
      <c r="AS76" s="10"/>
      <c r="AT76" s="10"/>
      <c r="AU76" s="10"/>
      <c r="AV76" s="10"/>
      <c r="AW76" s="10"/>
      <c r="AX76" s="10"/>
      <c r="AY76" s="10"/>
      <c r="AZ76" s="10">
        <v>1</v>
      </c>
      <c r="BA76" s="10"/>
      <c r="BB76" s="10"/>
      <c r="BC76" s="10"/>
      <c r="BD76" s="10"/>
      <c r="BE76" s="12">
        <v>1</v>
      </c>
      <c r="BF76" s="12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>
        <v>10</v>
      </c>
      <c r="BT76" s="10"/>
      <c r="BU76" s="10"/>
      <c r="BV76" s="10"/>
      <c r="BW76" s="10"/>
    </row>
    <row r="77" spans="1:75" ht="15.75" customHeight="1" x14ac:dyDescent="0.2">
      <c r="A77" t="s">
        <v>69</v>
      </c>
      <c r="B77" t="s">
        <v>74</v>
      </c>
      <c r="C77" s="10" t="s">
        <v>79</v>
      </c>
      <c r="D77" s="10">
        <v>45</v>
      </c>
      <c r="E77" s="10">
        <v>1</v>
      </c>
      <c r="F77">
        <v>2020</v>
      </c>
      <c r="G77" s="10">
        <v>4.5</v>
      </c>
      <c r="H77" s="10">
        <v>25</v>
      </c>
      <c r="I77" s="10">
        <v>4</v>
      </c>
      <c r="J77" s="10">
        <v>0</v>
      </c>
      <c r="K77" s="10">
        <v>0</v>
      </c>
      <c r="L77" s="10">
        <v>36</v>
      </c>
      <c r="M77" s="10">
        <v>60</v>
      </c>
      <c r="N77" s="11">
        <f t="shared" si="0"/>
        <v>100</v>
      </c>
      <c r="O77" s="11">
        <f t="shared" si="1"/>
        <v>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>
        <v>5</v>
      </c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>
        <v>10</v>
      </c>
      <c r="AW77" s="10">
        <v>1</v>
      </c>
      <c r="AX77" s="10"/>
      <c r="AY77" s="10"/>
      <c r="AZ77" s="10"/>
      <c r="BA77" s="10"/>
      <c r="BB77" s="10"/>
      <c r="BC77" s="10"/>
      <c r="BD77" s="10"/>
      <c r="BE77" s="10"/>
      <c r="BF77" s="12">
        <v>1</v>
      </c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>
        <v>20</v>
      </c>
      <c r="BT77" s="10"/>
      <c r="BU77" s="10"/>
      <c r="BV77" s="10"/>
      <c r="BW77" s="10"/>
    </row>
    <row r="78" spans="1:75" ht="15.75" customHeight="1" x14ac:dyDescent="0.2">
      <c r="A78" t="s">
        <v>69</v>
      </c>
      <c r="B78" t="s">
        <v>74</v>
      </c>
      <c r="C78" s="10" t="s">
        <v>79</v>
      </c>
      <c r="D78" s="10">
        <v>45</v>
      </c>
      <c r="E78" s="10">
        <v>2</v>
      </c>
      <c r="F78">
        <v>2020</v>
      </c>
      <c r="G78" s="10">
        <v>14</v>
      </c>
      <c r="H78" s="10">
        <v>23</v>
      </c>
      <c r="I78" s="10">
        <v>0</v>
      </c>
      <c r="J78" s="10">
        <v>0</v>
      </c>
      <c r="K78" s="10">
        <v>0</v>
      </c>
      <c r="L78" s="10">
        <v>71</v>
      </c>
      <c r="M78" s="10">
        <v>29</v>
      </c>
      <c r="N78" s="11">
        <f t="shared" si="0"/>
        <v>100</v>
      </c>
      <c r="O78" s="11">
        <f t="shared" si="1"/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>
        <v>65</v>
      </c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>
        <v>1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2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>
        <v>5</v>
      </c>
      <c r="BT78" s="10"/>
      <c r="BU78" s="10"/>
      <c r="BV78" s="10"/>
      <c r="BW78" s="10"/>
    </row>
    <row r="79" spans="1:75" ht="15.75" customHeight="1" x14ac:dyDescent="0.2">
      <c r="A79" t="s">
        <v>69</v>
      </c>
      <c r="B79" t="s">
        <v>74</v>
      </c>
      <c r="C79" s="10" t="s">
        <v>79</v>
      </c>
      <c r="D79" s="10">
        <v>45</v>
      </c>
      <c r="E79" s="10">
        <v>3</v>
      </c>
      <c r="F79">
        <v>2020</v>
      </c>
      <c r="G79" s="10">
        <v>23</v>
      </c>
      <c r="H79" s="10">
        <v>22</v>
      </c>
      <c r="I79" s="10">
        <v>0</v>
      </c>
      <c r="J79" s="10">
        <v>0</v>
      </c>
      <c r="K79" s="10">
        <v>0</v>
      </c>
      <c r="L79" s="10">
        <v>25</v>
      </c>
      <c r="M79" s="10">
        <v>75</v>
      </c>
      <c r="N79" s="11">
        <f t="shared" si="0"/>
        <v>100</v>
      </c>
      <c r="O79" s="11">
        <f t="shared" si="1"/>
        <v>0</v>
      </c>
      <c r="P79" s="10"/>
      <c r="Q79" s="10"/>
      <c r="R79" s="10"/>
      <c r="S79" s="10"/>
      <c r="T79" s="10"/>
      <c r="U79" s="10">
        <v>3</v>
      </c>
      <c r="V79" s="10"/>
      <c r="W79" s="10"/>
      <c r="X79" s="10"/>
      <c r="Y79" s="10"/>
      <c r="Z79" s="10"/>
      <c r="AA79" s="10"/>
      <c r="AB79" s="10"/>
      <c r="AC79" s="10"/>
      <c r="AD79" s="10">
        <v>5</v>
      </c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2">
        <v>2</v>
      </c>
      <c r="BG79" s="12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>
        <v>15</v>
      </c>
      <c r="BT79" s="10"/>
      <c r="BU79" s="10"/>
      <c r="BV79" s="10"/>
      <c r="BW79" s="10"/>
    </row>
    <row r="80" spans="1:75" ht="15.75" customHeight="1" x14ac:dyDescent="0.2">
      <c r="A80" t="s">
        <v>69</v>
      </c>
      <c r="B80" t="s">
        <v>74</v>
      </c>
      <c r="C80" s="10" t="s">
        <v>79</v>
      </c>
      <c r="D80" s="10">
        <v>46</v>
      </c>
      <c r="E80" s="10">
        <v>1</v>
      </c>
      <c r="F80">
        <v>2020</v>
      </c>
      <c r="G80" s="10">
        <v>3</v>
      </c>
      <c r="H80" s="10">
        <v>23</v>
      </c>
      <c r="I80" s="10">
        <v>20</v>
      </c>
      <c r="J80" s="10">
        <v>0</v>
      </c>
      <c r="K80" s="10">
        <v>0</v>
      </c>
      <c r="L80" s="10">
        <v>50</v>
      </c>
      <c r="M80" s="10">
        <v>30</v>
      </c>
      <c r="N80" s="11">
        <f t="shared" si="0"/>
        <v>100</v>
      </c>
      <c r="O80" s="11">
        <f t="shared" si="1"/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>
        <v>35</v>
      </c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2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>
        <v>15</v>
      </c>
      <c r="BT80" s="10"/>
      <c r="BU80" s="10"/>
      <c r="BV80" s="10"/>
      <c r="BW80" s="10"/>
    </row>
    <row r="81" spans="1:75" ht="15.75" customHeight="1" x14ac:dyDescent="0.2">
      <c r="A81" t="s">
        <v>69</v>
      </c>
      <c r="B81" t="s">
        <v>74</v>
      </c>
      <c r="C81" s="10" t="s">
        <v>79</v>
      </c>
      <c r="D81" s="10">
        <v>46</v>
      </c>
      <c r="E81" s="10">
        <v>2</v>
      </c>
      <c r="F81">
        <v>2020</v>
      </c>
      <c r="G81" s="10">
        <v>13</v>
      </c>
      <c r="H81" s="10">
        <v>34</v>
      </c>
      <c r="I81" s="10">
        <v>20</v>
      </c>
      <c r="J81" s="10">
        <v>0</v>
      </c>
      <c r="K81" s="10">
        <v>0</v>
      </c>
      <c r="L81" s="10">
        <v>35</v>
      </c>
      <c r="M81" s="10">
        <v>45</v>
      </c>
      <c r="N81" s="11">
        <f t="shared" si="0"/>
        <v>100</v>
      </c>
      <c r="O81" s="11">
        <f t="shared" si="1"/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>
        <v>5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2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>
        <v>30</v>
      </c>
      <c r="BT81" s="10"/>
      <c r="BU81" s="10"/>
      <c r="BV81" s="10"/>
      <c r="BW81" s="10"/>
    </row>
    <row r="82" spans="1:75" ht="15.75" customHeight="1" x14ac:dyDescent="0.2">
      <c r="A82" t="s">
        <v>69</v>
      </c>
      <c r="B82" t="s">
        <v>74</v>
      </c>
      <c r="C82" s="10" t="s">
        <v>79</v>
      </c>
      <c r="D82" s="10">
        <v>46</v>
      </c>
      <c r="E82" s="10">
        <v>3</v>
      </c>
      <c r="F82">
        <v>2020</v>
      </c>
      <c r="G82" s="10">
        <v>26</v>
      </c>
      <c r="H82" s="10">
        <v>24</v>
      </c>
      <c r="I82" s="10">
        <v>3</v>
      </c>
      <c r="J82" s="10">
        <v>0</v>
      </c>
      <c r="K82" s="10">
        <v>0</v>
      </c>
      <c r="L82" s="10">
        <v>62</v>
      </c>
      <c r="M82" s="10">
        <v>35</v>
      </c>
      <c r="N82" s="11">
        <f t="shared" si="0"/>
        <v>100</v>
      </c>
      <c r="O82" s="11">
        <f t="shared" si="1"/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>
        <v>60</v>
      </c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2">
        <v>2</v>
      </c>
      <c r="BG82" s="12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</row>
    <row r="83" spans="1:75" ht="15.75" customHeight="1" x14ac:dyDescent="0.2">
      <c r="A83" t="s">
        <v>69</v>
      </c>
      <c r="B83" t="s">
        <v>74</v>
      </c>
      <c r="C83" s="10" t="s">
        <v>79</v>
      </c>
      <c r="D83" s="10">
        <v>47</v>
      </c>
      <c r="E83" s="10">
        <v>1</v>
      </c>
      <c r="F83">
        <v>2020</v>
      </c>
      <c r="G83" s="10">
        <v>8</v>
      </c>
      <c r="H83" s="10">
        <v>18</v>
      </c>
      <c r="I83" s="10">
        <v>20</v>
      </c>
      <c r="J83" s="10">
        <v>15</v>
      </c>
      <c r="K83" s="10">
        <v>0</v>
      </c>
      <c r="L83" s="10">
        <v>60</v>
      </c>
      <c r="M83" s="10">
        <v>5</v>
      </c>
      <c r="N83" s="11">
        <f t="shared" si="0"/>
        <v>100</v>
      </c>
      <c r="O83" s="11">
        <f t="shared" si="1"/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>
        <v>10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2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>
        <v>50</v>
      </c>
      <c r="BT83" s="10"/>
      <c r="BU83" s="10"/>
      <c r="BV83" s="10"/>
      <c r="BW83" s="10"/>
    </row>
    <row r="84" spans="1:75" ht="15.75" customHeight="1" x14ac:dyDescent="0.2">
      <c r="A84" t="s">
        <v>69</v>
      </c>
      <c r="B84" t="s">
        <v>74</v>
      </c>
      <c r="C84" s="10" t="s">
        <v>79</v>
      </c>
      <c r="D84" s="10">
        <v>47</v>
      </c>
      <c r="E84" s="10">
        <v>2</v>
      </c>
      <c r="F84">
        <v>2020</v>
      </c>
      <c r="G84" s="10">
        <v>16.5</v>
      </c>
      <c r="H84" s="10">
        <v>22</v>
      </c>
      <c r="I84" s="10">
        <v>10</v>
      </c>
      <c r="J84" s="10">
        <v>0</v>
      </c>
      <c r="K84" s="10">
        <v>0</v>
      </c>
      <c r="L84" s="10">
        <v>36</v>
      </c>
      <c r="M84" s="10">
        <v>54</v>
      </c>
      <c r="N84" s="11">
        <f t="shared" si="0"/>
        <v>100</v>
      </c>
      <c r="O84" s="11">
        <f t="shared" si="1"/>
        <v>0</v>
      </c>
      <c r="P84" s="10"/>
      <c r="Q84" s="10"/>
      <c r="R84" s="10"/>
      <c r="S84" s="10"/>
      <c r="T84" s="10"/>
      <c r="U84" s="10">
        <v>5</v>
      </c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>
        <v>5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>
        <v>1</v>
      </c>
      <c r="AW84" s="10"/>
      <c r="AX84" s="10"/>
      <c r="AY84" s="10"/>
      <c r="AZ84" s="10"/>
      <c r="BA84" s="10"/>
      <c r="BB84" s="10"/>
      <c r="BC84" s="10"/>
      <c r="BD84" s="10"/>
      <c r="BE84" s="10"/>
      <c r="BF84" s="12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>
        <v>25</v>
      </c>
      <c r="BT84" s="10"/>
      <c r="BU84" s="10"/>
      <c r="BV84" s="10"/>
      <c r="BW84" s="10"/>
    </row>
    <row r="85" spans="1:75" ht="15.75" customHeight="1" x14ac:dyDescent="0.2">
      <c r="A85" t="s">
        <v>69</v>
      </c>
      <c r="B85" t="s">
        <v>74</v>
      </c>
      <c r="C85" s="10" t="s">
        <v>79</v>
      </c>
      <c r="D85" s="10">
        <v>47</v>
      </c>
      <c r="E85" s="10">
        <v>3</v>
      </c>
      <c r="F85">
        <v>2020</v>
      </c>
      <c r="G85" s="10">
        <v>24.5</v>
      </c>
      <c r="H85" s="10">
        <v>20</v>
      </c>
      <c r="I85" s="10">
        <v>10</v>
      </c>
      <c r="J85" s="10">
        <v>0</v>
      </c>
      <c r="K85" s="10">
        <v>0</v>
      </c>
      <c r="L85" s="10">
        <v>35</v>
      </c>
      <c r="M85" s="10">
        <v>55</v>
      </c>
      <c r="N85" s="11">
        <f t="shared" si="0"/>
        <v>100</v>
      </c>
      <c r="O85" s="11">
        <f t="shared" si="1"/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s="10">
        <v>1</v>
      </c>
      <c r="Z85" s="10"/>
      <c r="AA85" s="10"/>
      <c r="AB85" s="10"/>
      <c r="AC85" s="10"/>
      <c r="AD85" s="10">
        <v>10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2">
        <v>1</v>
      </c>
      <c r="BG85" s="12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>
        <v>21</v>
      </c>
      <c r="BT85" s="10">
        <v>2</v>
      </c>
      <c r="BU85" s="10"/>
      <c r="BV85" s="10"/>
      <c r="BW85" s="10"/>
    </row>
    <row r="86" spans="1:75" ht="15.75" customHeight="1" x14ac:dyDescent="0.2">
      <c r="A86" t="s">
        <v>69</v>
      </c>
      <c r="B86" t="s">
        <v>74</v>
      </c>
      <c r="C86" s="10" t="s">
        <v>79</v>
      </c>
      <c r="D86" s="10">
        <v>48</v>
      </c>
      <c r="E86" s="10">
        <v>1</v>
      </c>
      <c r="F86">
        <v>2020</v>
      </c>
      <c r="G86" s="10">
        <v>7</v>
      </c>
      <c r="H86" s="10">
        <v>13</v>
      </c>
      <c r="I86" s="10">
        <v>15</v>
      </c>
      <c r="J86" s="10">
        <v>0</v>
      </c>
      <c r="K86" s="10">
        <v>0</v>
      </c>
      <c r="L86" s="10">
        <v>11</v>
      </c>
      <c r="M86" s="10">
        <v>74</v>
      </c>
      <c r="N86" s="11">
        <f t="shared" si="0"/>
        <v>100</v>
      </c>
      <c r="O86" s="11">
        <f t="shared" si="1"/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2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>
        <v>10</v>
      </c>
      <c r="BT86" s="10"/>
      <c r="BU86" s="10"/>
      <c r="BV86" s="10"/>
      <c r="BW86" s="10"/>
    </row>
    <row r="87" spans="1:75" ht="15.75" customHeight="1" x14ac:dyDescent="0.2">
      <c r="A87" t="s">
        <v>69</v>
      </c>
      <c r="B87" t="s">
        <v>74</v>
      </c>
      <c r="C87" s="10" t="s">
        <v>79</v>
      </c>
      <c r="D87" s="10">
        <v>48</v>
      </c>
      <c r="E87" s="10">
        <v>2</v>
      </c>
      <c r="F87">
        <v>2020</v>
      </c>
      <c r="G87" s="10">
        <v>14.5</v>
      </c>
      <c r="H87" s="10">
        <v>14</v>
      </c>
      <c r="I87" s="10">
        <v>0</v>
      </c>
      <c r="J87" s="10">
        <v>5</v>
      </c>
      <c r="K87" s="10">
        <v>0</v>
      </c>
      <c r="L87" s="10">
        <v>30</v>
      </c>
      <c r="M87" s="10">
        <v>65</v>
      </c>
      <c r="N87" s="11">
        <f t="shared" si="0"/>
        <v>100</v>
      </c>
      <c r="O87" s="11">
        <f t="shared" si="1"/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>
        <v>30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2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</row>
    <row r="88" spans="1:75" ht="15.75" customHeight="1" x14ac:dyDescent="0.2">
      <c r="A88" t="s">
        <v>69</v>
      </c>
      <c r="B88" t="s">
        <v>74</v>
      </c>
      <c r="C88" s="10" t="s">
        <v>79</v>
      </c>
      <c r="D88" s="10">
        <v>48</v>
      </c>
      <c r="E88" s="10">
        <v>3</v>
      </c>
      <c r="F88">
        <v>2020</v>
      </c>
      <c r="G88" s="10">
        <v>24</v>
      </c>
      <c r="H88" s="12">
        <v>25</v>
      </c>
      <c r="I88" s="10">
        <v>2</v>
      </c>
      <c r="J88" s="10">
        <v>5</v>
      </c>
      <c r="K88" s="10">
        <v>0</v>
      </c>
      <c r="L88" s="10">
        <v>32</v>
      </c>
      <c r="M88" s="10">
        <v>61</v>
      </c>
      <c r="N88" s="11">
        <f t="shared" si="0"/>
        <v>100</v>
      </c>
      <c r="O88" s="11">
        <f t="shared" si="1"/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s="10">
        <v>1</v>
      </c>
      <c r="Z88" s="10"/>
      <c r="AA88" s="10"/>
      <c r="AB88" s="10"/>
      <c r="AC88" s="10"/>
      <c r="AD88" s="10">
        <v>10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2">
        <v>1</v>
      </c>
      <c r="BG88" s="12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>
        <v>20</v>
      </c>
      <c r="BT88" s="10"/>
      <c r="BU88" s="10"/>
      <c r="BV88" s="10"/>
      <c r="BW88" s="10"/>
    </row>
    <row r="89" spans="1:75" ht="15.75" customHeight="1" x14ac:dyDescent="0.2">
      <c r="A89" t="s">
        <v>69</v>
      </c>
      <c r="B89" t="s">
        <v>74</v>
      </c>
      <c r="C89" s="10" t="s">
        <v>79</v>
      </c>
      <c r="D89" s="10">
        <v>49</v>
      </c>
      <c r="E89" s="10">
        <v>1</v>
      </c>
      <c r="F89">
        <v>2020</v>
      </c>
      <c r="G89" s="10">
        <v>7</v>
      </c>
      <c r="H89" s="10">
        <v>21</v>
      </c>
      <c r="I89" s="10">
        <v>2</v>
      </c>
      <c r="J89" s="10">
        <v>0</v>
      </c>
      <c r="K89" s="10">
        <v>0</v>
      </c>
      <c r="L89" s="10">
        <v>80</v>
      </c>
      <c r="M89" s="10">
        <v>18</v>
      </c>
      <c r="N89" s="11">
        <f t="shared" si="0"/>
        <v>100</v>
      </c>
      <c r="O89" s="11">
        <f t="shared" si="1"/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>
        <v>1</v>
      </c>
      <c r="AW89" s="10"/>
      <c r="AX89" s="10"/>
      <c r="AY89" s="10"/>
      <c r="AZ89" s="10"/>
      <c r="BA89" s="10"/>
      <c r="BB89" s="10"/>
      <c r="BC89" s="10"/>
      <c r="BD89" s="10"/>
      <c r="BE89" s="10"/>
      <c r="BF89" s="12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>
        <v>77</v>
      </c>
      <c r="BT89" s="10">
        <v>2</v>
      </c>
      <c r="BU89" s="10"/>
      <c r="BV89" s="10"/>
      <c r="BW89" s="10"/>
    </row>
    <row r="90" spans="1:75" ht="15.75" customHeight="1" x14ac:dyDescent="0.2">
      <c r="A90" t="s">
        <v>69</v>
      </c>
      <c r="B90" t="s">
        <v>74</v>
      </c>
      <c r="C90" s="10" t="s">
        <v>79</v>
      </c>
      <c r="D90" s="10">
        <v>49</v>
      </c>
      <c r="E90" s="10">
        <v>2</v>
      </c>
      <c r="F90">
        <v>2020</v>
      </c>
      <c r="G90" s="10">
        <v>10.5</v>
      </c>
      <c r="H90" s="10">
        <v>25</v>
      </c>
      <c r="I90" s="10">
        <v>0</v>
      </c>
      <c r="J90" s="10">
        <v>0</v>
      </c>
      <c r="K90" s="10">
        <v>0</v>
      </c>
      <c r="L90" s="10">
        <v>80</v>
      </c>
      <c r="M90" s="10">
        <v>20</v>
      </c>
      <c r="N90" s="11">
        <f t="shared" si="0"/>
        <v>100</v>
      </c>
      <c r="O90" s="11">
        <f t="shared" si="1"/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2">
        <v>1</v>
      </c>
      <c r="BG90" s="12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>
        <v>78</v>
      </c>
      <c r="BT90" s="10">
        <v>1</v>
      </c>
      <c r="BU90" s="10"/>
      <c r="BV90" s="10"/>
      <c r="BW90" s="10"/>
    </row>
    <row r="91" spans="1:75" ht="15.75" customHeight="1" x14ac:dyDescent="0.2">
      <c r="A91" t="s">
        <v>69</v>
      </c>
      <c r="B91" t="s">
        <v>74</v>
      </c>
      <c r="C91" s="10" t="s">
        <v>79</v>
      </c>
      <c r="D91" s="10">
        <v>49</v>
      </c>
      <c r="E91" s="10">
        <v>3</v>
      </c>
      <c r="F91">
        <v>2020</v>
      </c>
      <c r="G91" s="10">
        <v>21</v>
      </c>
      <c r="H91" s="12">
        <v>50</v>
      </c>
      <c r="I91" s="10">
        <v>20</v>
      </c>
      <c r="J91" s="10">
        <v>5</v>
      </c>
      <c r="K91" s="10">
        <v>0</v>
      </c>
      <c r="L91" s="10">
        <v>35</v>
      </c>
      <c r="M91" s="10">
        <v>40</v>
      </c>
      <c r="N91" s="11">
        <f t="shared" si="0"/>
        <v>100</v>
      </c>
      <c r="O91" s="11">
        <f t="shared" si="1"/>
        <v>10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>
        <v>30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>
        <v>1</v>
      </c>
      <c r="AT91" s="10"/>
      <c r="AU91" s="10"/>
      <c r="AV91" s="10"/>
      <c r="AW91" s="10"/>
      <c r="AX91" s="10"/>
      <c r="AY91" s="10">
        <v>3</v>
      </c>
      <c r="AZ91" s="10"/>
      <c r="BA91" s="10"/>
      <c r="BB91" s="10"/>
      <c r="BC91" s="10"/>
      <c r="BD91" s="10">
        <v>1</v>
      </c>
      <c r="BE91" s="10"/>
      <c r="BF91" s="12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4">
        <v>10</v>
      </c>
      <c r="BW91" s="10"/>
    </row>
    <row r="92" spans="1:75" ht="15.75" customHeight="1" x14ac:dyDescent="0.2">
      <c r="N92" s="2"/>
      <c r="O92" s="2"/>
      <c r="AV92" s="10"/>
    </row>
    <row r="93" spans="1:75" ht="15.75" customHeight="1" x14ac:dyDescent="0.2">
      <c r="N93" s="2"/>
      <c r="O93" s="2"/>
      <c r="AV93" s="10"/>
    </row>
    <row r="94" spans="1:75" ht="15.75" customHeight="1" x14ac:dyDescent="0.2">
      <c r="N94" s="2"/>
      <c r="O94" s="2"/>
      <c r="AV94" s="10"/>
    </row>
    <row r="95" spans="1:75" ht="15.75" customHeight="1" x14ac:dyDescent="0.2">
      <c r="N95" s="2"/>
      <c r="O95" s="2"/>
      <c r="AV95" s="10"/>
    </row>
    <row r="96" spans="1:75" ht="15.75" customHeight="1" x14ac:dyDescent="0.2">
      <c r="N96" s="2"/>
      <c r="O96" s="2"/>
      <c r="AV96" s="10"/>
    </row>
    <row r="97" spans="14:48" ht="15.75" customHeight="1" x14ac:dyDescent="0.2">
      <c r="N97" s="2"/>
      <c r="O97" s="2"/>
      <c r="AV97" s="10"/>
    </row>
    <row r="98" spans="14:48" ht="15.75" customHeight="1" x14ac:dyDescent="0.2">
      <c r="N98" s="2"/>
      <c r="O98" s="2"/>
      <c r="AV98" s="10"/>
    </row>
    <row r="99" spans="14:48" ht="15.75" customHeight="1" x14ac:dyDescent="0.2">
      <c r="N99" s="2"/>
      <c r="O99" s="2"/>
      <c r="AV99" s="10"/>
    </row>
    <row r="100" spans="14:48" ht="15.75" customHeight="1" x14ac:dyDescent="0.2">
      <c r="N100" s="2"/>
      <c r="O100" s="2"/>
      <c r="AV100" s="10"/>
    </row>
    <row r="101" spans="14:48" ht="15.75" customHeight="1" x14ac:dyDescent="0.2">
      <c r="N101" s="2"/>
      <c r="O101" s="2"/>
      <c r="AV101" s="10"/>
    </row>
    <row r="102" spans="14:48" ht="15.75" customHeight="1" x14ac:dyDescent="0.2">
      <c r="N102" s="2"/>
      <c r="O102" s="2"/>
      <c r="AV102" s="10"/>
    </row>
    <row r="103" spans="14:48" ht="15.75" customHeight="1" x14ac:dyDescent="0.2">
      <c r="N103" s="2"/>
      <c r="O103" s="2"/>
      <c r="AV103" s="10"/>
    </row>
    <row r="104" spans="14:48" ht="15.75" customHeight="1" x14ac:dyDescent="0.2">
      <c r="N104" s="2"/>
      <c r="O104" s="2"/>
      <c r="AV104" s="10"/>
    </row>
    <row r="105" spans="14:48" ht="15.75" customHeight="1" x14ac:dyDescent="0.2">
      <c r="N105" s="2"/>
      <c r="O105" s="2"/>
      <c r="AV105" s="10"/>
    </row>
    <row r="106" spans="14:48" ht="15.75" customHeight="1" x14ac:dyDescent="0.2">
      <c r="N106" s="2"/>
      <c r="O106" s="2"/>
      <c r="AV106" s="10"/>
    </row>
    <row r="107" spans="14:48" ht="15.75" customHeight="1" x14ac:dyDescent="0.2">
      <c r="N107" s="2"/>
      <c r="O107" s="2"/>
      <c r="AV107" s="10"/>
    </row>
    <row r="108" spans="14:48" ht="15.75" customHeight="1" x14ac:dyDescent="0.2">
      <c r="N108" s="2"/>
      <c r="O108" s="2"/>
      <c r="AV108" s="10"/>
    </row>
    <row r="109" spans="14:48" ht="15.75" customHeight="1" x14ac:dyDescent="0.2">
      <c r="N109" s="2"/>
      <c r="O109" s="2"/>
      <c r="AV109" s="10"/>
    </row>
    <row r="110" spans="14:48" ht="15.75" customHeight="1" x14ac:dyDescent="0.2">
      <c r="N110" s="2"/>
      <c r="O110" s="2"/>
      <c r="AV110" s="10"/>
    </row>
    <row r="111" spans="14:48" ht="15.75" customHeight="1" x14ac:dyDescent="0.2">
      <c r="N111" s="2"/>
      <c r="O111" s="2"/>
      <c r="AV111" s="10"/>
    </row>
    <row r="112" spans="14:48" ht="15.75" customHeight="1" x14ac:dyDescent="0.2">
      <c r="N112" s="2"/>
      <c r="O112" s="2"/>
      <c r="AV112" s="10"/>
    </row>
    <row r="113" spans="14:48" ht="15.75" customHeight="1" x14ac:dyDescent="0.2">
      <c r="N113" s="2"/>
      <c r="O113" s="2"/>
      <c r="AV113" s="10"/>
    </row>
    <row r="114" spans="14:48" ht="15.75" customHeight="1" x14ac:dyDescent="0.2">
      <c r="N114" s="2"/>
      <c r="O114" s="2"/>
      <c r="AV114" s="10"/>
    </row>
    <row r="115" spans="14:48" ht="15.75" customHeight="1" x14ac:dyDescent="0.2">
      <c r="N115" s="2"/>
      <c r="O115" s="2"/>
      <c r="AV115" s="10"/>
    </row>
    <row r="116" spans="14:48" ht="15.75" customHeight="1" x14ac:dyDescent="0.2">
      <c r="N116" s="2"/>
      <c r="O116" s="2"/>
      <c r="AV116" s="10"/>
    </row>
    <row r="117" spans="14:48" ht="15.75" customHeight="1" x14ac:dyDescent="0.2">
      <c r="N117" s="2"/>
      <c r="O117" s="2"/>
      <c r="AV117" s="10"/>
    </row>
    <row r="118" spans="14:48" ht="15.75" customHeight="1" x14ac:dyDescent="0.2">
      <c r="N118" s="2"/>
      <c r="O118" s="2"/>
      <c r="AV118" s="10"/>
    </row>
    <row r="119" spans="14:48" ht="15.75" customHeight="1" x14ac:dyDescent="0.2">
      <c r="N119" s="2"/>
      <c r="O119" s="2"/>
      <c r="AV119" s="10"/>
    </row>
    <row r="120" spans="14:48" ht="15.75" customHeight="1" x14ac:dyDescent="0.2">
      <c r="N120" s="2"/>
      <c r="O120" s="2"/>
      <c r="AV120" s="10"/>
    </row>
    <row r="121" spans="14:48" ht="15.75" customHeight="1" x14ac:dyDescent="0.2">
      <c r="N121" s="2"/>
      <c r="O121" s="2"/>
      <c r="AV121" s="10"/>
    </row>
    <row r="122" spans="14:48" ht="15.75" customHeight="1" x14ac:dyDescent="0.2">
      <c r="N122" s="2"/>
      <c r="O122" s="2"/>
      <c r="AV122" s="10"/>
    </row>
    <row r="123" spans="14:48" ht="15.75" customHeight="1" x14ac:dyDescent="0.2">
      <c r="N123" s="2"/>
      <c r="O123" s="2"/>
      <c r="AV123" s="10"/>
    </row>
    <row r="124" spans="14:48" ht="15.75" customHeight="1" x14ac:dyDescent="0.2">
      <c r="N124" s="2"/>
      <c r="O124" s="2"/>
      <c r="AV124" s="10"/>
    </row>
    <row r="125" spans="14:48" ht="15.75" customHeight="1" x14ac:dyDescent="0.2">
      <c r="N125" s="2"/>
      <c r="O125" s="2"/>
      <c r="AV125" s="10"/>
    </row>
    <row r="126" spans="14:48" ht="15.75" customHeight="1" x14ac:dyDescent="0.2">
      <c r="N126" s="2"/>
      <c r="O126" s="2"/>
      <c r="AV126" s="10"/>
    </row>
    <row r="127" spans="14:48" ht="15.75" customHeight="1" x14ac:dyDescent="0.2">
      <c r="N127" s="2"/>
      <c r="O127" s="2"/>
      <c r="AV127" s="10"/>
    </row>
    <row r="128" spans="14:48" ht="15.75" customHeight="1" x14ac:dyDescent="0.2">
      <c r="N128" s="2"/>
      <c r="O128" s="2"/>
      <c r="AV128" s="10"/>
    </row>
    <row r="129" spans="14:48" ht="15.75" customHeight="1" x14ac:dyDescent="0.2">
      <c r="N129" s="2"/>
      <c r="O129" s="2"/>
      <c r="AV129" s="10"/>
    </row>
    <row r="130" spans="14:48" ht="15.75" customHeight="1" x14ac:dyDescent="0.2">
      <c r="N130" s="2"/>
      <c r="O130" s="2"/>
      <c r="AV130" s="10"/>
    </row>
    <row r="131" spans="14:48" ht="15.75" customHeight="1" x14ac:dyDescent="0.2">
      <c r="N131" s="2"/>
      <c r="O131" s="2"/>
      <c r="AV131" s="10"/>
    </row>
    <row r="132" spans="14:48" ht="15.75" customHeight="1" x14ac:dyDescent="0.2">
      <c r="N132" s="2"/>
      <c r="O132" s="2"/>
      <c r="AV132" s="10"/>
    </row>
    <row r="133" spans="14:48" ht="15.75" customHeight="1" x14ac:dyDescent="0.2">
      <c r="N133" s="2"/>
      <c r="O133" s="2"/>
      <c r="AV133" s="10"/>
    </row>
    <row r="134" spans="14:48" ht="15.75" customHeight="1" x14ac:dyDescent="0.2">
      <c r="N134" s="2"/>
      <c r="O134" s="2"/>
      <c r="AV134" s="10"/>
    </row>
    <row r="135" spans="14:48" ht="15.75" customHeight="1" x14ac:dyDescent="0.2">
      <c r="N135" s="2"/>
      <c r="O135" s="2"/>
      <c r="AV135" s="10"/>
    </row>
    <row r="136" spans="14:48" ht="15.75" customHeight="1" x14ac:dyDescent="0.2">
      <c r="N136" s="2"/>
      <c r="O136" s="2"/>
      <c r="AV136" s="10"/>
    </row>
    <row r="137" spans="14:48" ht="15.75" customHeight="1" x14ac:dyDescent="0.2">
      <c r="N137" s="2"/>
      <c r="O137" s="2"/>
      <c r="AV137" s="10"/>
    </row>
    <row r="138" spans="14:48" ht="15.75" customHeight="1" x14ac:dyDescent="0.2">
      <c r="N138" s="2"/>
      <c r="O138" s="2"/>
      <c r="AV138" s="10"/>
    </row>
    <row r="139" spans="14:48" ht="15.75" customHeight="1" x14ac:dyDescent="0.2">
      <c r="N139" s="2"/>
      <c r="O139" s="2"/>
      <c r="AV139" s="10"/>
    </row>
    <row r="140" spans="14:48" ht="15.75" customHeight="1" x14ac:dyDescent="0.2">
      <c r="N140" s="2"/>
      <c r="O140" s="2"/>
      <c r="AV140" s="10"/>
    </row>
    <row r="141" spans="14:48" ht="15.75" customHeight="1" x14ac:dyDescent="0.2">
      <c r="N141" s="2"/>
      <c r="O141" s="2"/>
      <c r="AV141" s="10"/>
    </row>
    <row r="142" spans="14:48" ht="15.75" customHeight="1" x14ac:dyDescent="0.2">
      <c r="N142" s="2"/>
      <c r="O142" s="2"/>
      <c r="AV142" s="10"/>
    </row>
    <row r="143" spans="14:48" ht="15.75" customHeight="1" x14ac:dyDescent="0.2">
      <c r="N143" s="2"/>
      <c r="O143" s="2"/>
      <c r="AV143" s="10"/>
    </row>
    <row r="144" spans="14:48" ht="15.75" customHeight="1" x14ac:dyDescent="0.2">
      <c r="N144" s="2"/>
      <c r="O144" s="2"/>
      <c r="AV144" s="10"/>
    </row>
    <row r="145" spans="14:48" ht="15.75" customHeight="1" x14ac:dyDescent="0.2">
      <c r="N145" s="2"/>
      <c r="O145" s="2"/>
      <c r="AV145" s="10"/>
    </row>
    <row r="146" spans="14:48" ht="15.75" customHeight="1" x14ac:dyDescent="0.2">
      <c r="N146" s="2"/>
      <c r="O146" s="2"/>
      <c r="AV146" s="10"/>
    </row>
    <row r="147" spans="14:48" ht="15.75" customHeight="1" x14ac:dyDescent="0.2">
      <c r="N147" s="2"/>
      <c r="O147" s="2"/>
      <c r="AV147" s="10"/>
    </row>
    <row r="148" spans="14:48" ht="15.75" customHeight="1" x14ac:dyDescent="0.2">
      <c r="N148" s="2"/>
      <c r="O148" s="2"/>
      <c r="AV148" s="10"/>
    </row>
    <row r="149" spans="14:48" ht="15.75" customHeight="1" x14ac:dyDescent="0.2">
      <c r="N149" s="2"/>
      <c r="O149" s="2"/>
      <c r="AV149" s="10"/>
    </row>
    <row r="150" spans="14:48" ht="15.75" customHeight="1" x14ac:dyDescent="0.2">
      <c r="N150" s="2"/>
      <c r="O150" s="2"/>
      <c r="AV150" s="10"/>
    </row>
    <row r="151" spans="14:48" ht="15.75" customHeight="1" x14ac:dyDescent="0.2">
      <c r="N151" s="2"/>
      <c r="O151" s="2"/>
      <c r="AV151" s="10"/>
    </row>
    <row r="152" spans="14:48" ht="15.75" customHeight="1" x14ac:dyDescent="0.2">
      <c r="N152" s="2"/>
      <c r="O152" s="2"/>
      <c r="AV152" s="10"/>
    </row>
    <row r="153" spans="14:48" ht="15.75" customHeight="1" x14ac:dyDescent="0.2">
      <c r="N153" s="2"/>
      <c r="O153" s="2"/>
      <c r="AV153" s="10"/>
    </row>
    <row r="154" spans="14:48" ht="15.75" customHeight="1" x14ac:dyDescent="0.2">
      <c r="N154" s="2"/>
      <c r="O154" s="2"/>
      <c r="AV154" s="10"/>
    </row>
    <row r="155" spans="14:48" ht="15.75" customHeight="1" x14ac:dyDescent="0.2">
      <c r="N155" s="2"/>
      <c r="O155" s="2"/>
      <c r="AV155" s="10"/>
    </row>
    <row r="156" spans="14:48" ht="15.75" customHeight="1" x14ac:dyDescent="0.2">
      <c r="N156" s="2"/>
      <c r="O156" s="2"/>
      <c r="AV156" s="10"/>
    </row>
    <row r="157" spans="14:48" ht="15.75" customHeight="1" x14ac:dyDescent="0.2">
      <c r="N157" s="2"/>
      <c r="O157" s="2"/>
      <c r="AV157" s="10"/>
    </row>
    <row r="158" spans="14:48" ht="15.75" customHeight="1" x14ac:dyDescent="0.2">
      <c r="N158" s="2"/>
      <c r="O158" s="2"/>
      <c r="AV158" s="10"/>
    </row>
    <row r="159" spans="14:48" ht="15.75" customHeight="1" x14ac:dyDescent="0.2">
      <c r="N159" s="2"/>
      <c r="O159" s="2"/>
      <c r="AV159" s="10"/>
    </row>
    <row r="160" spans="14:48" ht="15.75" customHeight="1" x14ac:dyDescent="0.2">
      <c r="N160" s="2"/>
      <c r="O160" s="2"/>
      <c r="AV160" s="10"/>
    </row>
    <row r="161" spans="14:48" ht="15.75" customHeight="1" x14ac:dyDescent="0.2">
      <c r="N161" s="2"/>
      <c r="O161" s="2"/>
      <c r="AV161" s="10"/>
    </row>
    <row r="162" spans="14:48" ht="15.75" customHeight="1" x14ac:dyDescent="0.2">
      <c r="N162" s="2"/>
      <c r="O162" s="2"/>
      <c r="AV162" s="10"/>
    </row>
    <row r="163" spans="14:48" ht="15.75" customHeight="1" x14ac:dyDescent="0.2">
      <c r="N163" s="2"/>
      <c r="O163" s="2"/>
      <c r="AV163" s="10"/>
    </row>
    <row r="164" spans="14:48" ht="15.75" customHeight="1" x14ac:dyDescent="0.2">
      <c r="N164" s="2"/>
      <c r="O164" s="2"/>
      <c r="AV164" s="10"/>
    </row>
    <row r="165" spans="14:48" ht="15.75" customHeight="1" x14ac:dyDescent="0.2">
      <c r="N165" s="2"/>
      <c r="O165" s="2"/>
      <c r="AV165" s="10"/>
    </row>
    <row r="166" spans="14:48" ht="15.75" customHeight="1" x14ac:dyDescent="0.2">
      <c r="N166" s="2"/>
      <c r="O166" s="2"/>
      <c r="AV166" s="10"/>
    </row>
    <row r="167" spans="14:48" ht="15.75" customHeight="1" x14ac:dyDescent="0.2">
      <c r="N167" s="2"/>
      <c r="O167" s="2"/>
      <c r="AV167" s="10"/>
    </row>
    <row r="168" spans="14:48" ht="15.75" customHeight="1" x14ac:dyDescent="0.2">
      <c r="N168" s="2"/>
      <c r="O168" s="2"/>
      <c r="AV168" s="10"/>
    </row>
    <row r="169" spans="14:48" ht="15.75" customHeight="1" x14ac:dyDescent="0.2">
      <c r="N169" s="2"/>
      <c r="O169" s="2"/>
      <c r="AV169" s="10"/>
    </row>
    <row r="170" spans="14:48" ht="15.75" customHeight="1" x14ac:dyDescent="0.2">
      <c r="N170" s="2"/>
      <c r="O170" s="2"/>
      <c r="AV170" s="10"/>
    </row>
    <row r="171" spans="14:48" ht="15.75" customHeight="1" x14ac:dyDescent="0.2">
      <c r="N171" s="2"/>
      <c r="O171" s="2"/>
      <c r="AV171" s="10"/>
    </row>
    <row r="172" spans="14:48" ht="15.75" customHeight="1" x14ac:dyDescent="0.2">
      <c r="N172" s="2"/>
      <c r="O172" s="2"/>
      <c r="AV172" s="10"/>
    </row>
    <row r="173" spans="14:48" ht="15.75" customHeight="1" x14ac:dyDescent="0.2">
      <c r="N173" s="2"/>
      <c r="O173" s="2"/>
      <c r="AV173" s="10"/>
    </row>
    <row r="174" spans="14:48" ht="15.75" customHeight="1" x14ac:dyDescent="0.2">
      <c r="N174" s="2"/>
      <c r="O174" s="2"/>
      <c r="AV174" s="10"/>
    </row>
    <row r="175" spans="14:48" ht="15.75" customHeight="1" x14ac:dyDescent="0.2">
      <c r="N175" s="2"/>
      <c r="O175" s="2"/>
      <c r="AV175" s="10"/>
    </row>
    <row r="176" spans="14:48" ht="15.75" customHeight="1" x14ac:dyDescent="0.2">
      <c r="N176" s="2"/>
      <c r="O176" s="2"/>
      <c r="AV176" s="10"/>
    </row>
    <row r="177" spans="14:48" ht="15.75" customHeight="1" x14ac:dyDescent="0.2">
      <c r="N177" s="2"/>
      <c r="O177" s="2"/>
      <c r="AV177" s="10"/>
    </row>
    <row r="178" spans="14:48" ht="15.75" customHeight="1" x14ac:dyDescent="0.2">
      <c r="N178" s="2"/>
      <c r="O178" s="2"/>
      <c r="AV178" s="10"/>
    </row>
    <row r="179" spans="14:48" ht="15.75" customHeight="1" x14ac:dyDescent="0.2">
      <c r="N179" s="2"/>
      <c r="O179" s="2"/>
      <c r="AV179" s="10"/>
    </row>
    <row r="180" spans="14:48" ht="15.75" customHeight="1" x14ac:dyDescent="0.2">
      <c r="N180" s="2"/>
      <c r="O180" s="2"/>
      <c r="AV180" s="10"/>
    </row>
    <row r="181" spans="14:48" ht="15.75" customHeight="1" x14ac:dyDescent="0.2">
      <c r="N181" s="2"/>
      <c r="O181" s="2"/>
      <c r="AV181" s="10"/>
    </row>
    <row r="182" spans="14:48" ht="15.75" customHeight="1" x14ac:dyDescent="0.2">
      <c r="N182" s="2"/>
      <c r="O182" s="2"/>
      <c r="AV182" s="10"/>
    </row>
    <row r="183" spans="14:48" ht="15.75" customHeight="1" x14ac:dyDescent="0.2">
      <c r="N183" s="2"/>
      <c r="O183" s="2"/>
      <c r="AV183" s="10"/>
    </row>
    <row r="184" spans="14:48" ht="15.75" customHeight="1" x14ac:dyDescent="0.2">
      <c r="N184" s="2"/>
      <c r="O184" s="2"/>
      <c r="AV184" s="10"/>
    </row>
    <row r="185" spans="14:48" ht="15.75" customHeight="1" x14ac:dyDescent="0.2">
      <c r="N185" s="2"/>
      <c r="O185" s="2"/>
      <c r="AV185" s="10"/>
    </row>
    <row r="186" spans="14:48" ht="15.75" customHeight="1" x14ac:dyDescent="0.2">
      <c r="N186" s="2"/>
      <c r="O186" s="2"/>
      <c r="AV186" s="10"/>
    </row>
    <row r="187" spans="14:48" ht="15.75" customHeight="1" x14ac:dyDescent="0.2">
      <c r="N187" s="2"/>
      <c r="O187" s="2"/>
      <c r="AV187" s="10"/>
    </row>
    <row r="188" spans="14:48" ht="15.75" customHeight="1" x14ac:dyDescent="0.2">
      <c r="N188" s="2"/>
      <c r="O188" s="2"/>
      <c r="AV188" s="10"/>
    </row>
    <row r="189" spans="14:48" ht="15.75" customHeight="1" x14ac:dyDescent="0.2">
      <c r="N189" s="2"/>
      <c r="O189" s="2"/>
      <c r="AV189" s="10"/>
    </row>
    <row r="190" spans="14:48" ht="15.75" customHeight="1" x14ac:dyDescent="0.2">
      <c r="N190" s="2"/>
      <c r="O190" s="2"/>
      <c r="AV190" s="10"/>
    </row>
    <row r="191" spans="14:48" ht="15.75" customHeight="1" x14ac:dyDescent="0.2">
      <c r="N191" s="2"/>
      <c r="O191" s="2"/>
      <c r="AV191" s="10"/>
    </row>
    <row r="192" spans="14:48" ht="15.75" customHeight="1" x14ac:dyDescent="0.2">
      <c r="N192" s="2"/>
      <c r="O192" s="2"/>
      <c r="AV192" s="10"/>
    </row>
    <row r="193" spans="14:48" ht="15.75" customHeight="1" x14ac:dyDescent="0.2">
      <c r="N193" s="2"/>
      <c r="O193" s="2"/>
      <c r="AV193" s="10"/>
    </row>
    <row r="194" spans="14:48" ht="15.75" customHeight="1" x14ac:dyDescent="0.2">
      <c r="N194" s="2"/>
      <c r="O194" s="2"/>
      <c r="AV194" s="10"/>
    </row>
    <row r="195" spans="14:48" ht="15.75" customHeight="1" x14ac:dyDescent="0.2">
      <c r="N195" s="2"/>
      <c r="O195" s="2"/>
      <c r="AV195" s="10"/>
    </row>
    <row r="196" spans="14:48" ht="15.75" customHeight="1" x14ac:dyDescent="0.2">
      <c r="N196" s="2"/>
      <c r="O196" s="2"/>
      <c r="AV196" s="10"/>
    </row>
    <row r="197" spans="14:48" ht="15.75" customHeight="1" x14ac:dyDescent="0.2">
      <c r="N197" s="2"/>
      <c r="O197" s="2"/>
      <c r="AV197" s="10"/>
    </row>
    <row r="198" spans="14:48" ht="15.75" customHeight="1" x14ac:dyDescent="0.2">
      <c r="N198" s="2"/>
      <c r="O198" s="2"/>
      <c r="AV198" s="10"/>
    </row>
    <row r="199" spans="14:48" ht="15.75" customHeight="1" x14ac:dyDescent="0.2">
      <c r="N199" s="2"/>
      <c r="O199" s="2"/>
      <c r="AV199" s="10"/>
    </row>
    <row r="200" spans="14:48" ht="15.75" customHeight="1" x14ac:dyDescent="0.2">
      <c r="N200" s="2"/>
      <c r="O200" s="2"/>
      <c r="AV200" s="10"/>
    </row>
    <row r="201" spans="14:48" ht="15.75" customHeight="1" x14ac:dyDescent="0.2">
      <c r="N201" s="2"/>
      <c r="O201" s="2"/>
      <c r="AV201" s="10"/>
    </row>
    <row r="202" spans="14:48" ht="15.75" customHeight="1" x14ac:dyDescent="0.2">
      <c r="N202" s="2"/>
      <c r="O202" s="2"/>
      <c r="AV202" s="10"/>
    </row>
    <row r="203" spans="14:48" ht="15.75" customHeight="1" x14ac:dyDescent="0.2">
      <c r="N203" s="2"/>
      <c r="O203" s="2"/>
      <c r="AV203" s="10"/>
    </row>
    <row r="204" spans="14:48" ht="15.75" customHeight="1" x14ac:dyDescent="0.2">
      <c r="N204" s="2"/>
      <c r="O204" s="2"/>
      <c r="AV204" s="10"/>
    </row>
    <row r="205" spans="14:48" ht="15.75" customHeight="1" x14ac:dyDescent="0.2">
      <c r="N205" s="2"/>
      <c r="O205" s="2"/>
      <c r="AV205" s="10"/>
    </row>
    <row r="206" spans="14:48" ht="15.75" customHeight="1" x14ac:dyDescent="0.2">
      <c r="N206" s="2"/>
      <c r="O206" s="2"/>
      <c r="AV206" s="10"/>
    </row>
    <row r="207" spans="14:48" ht="15.75" customHeight="1" x14ac:dyDescent="0.2">
      <c r="N207" s="2"/>
      <c r="O207" s="2"/>
      <c r="AV207" s="10"/>
    </row>
    <row r="208" spans="14:48" ht="15.75" customHeight="1" x14ac:dyDescent="0.2">
      <c r="N208" s="2"/>
      <c r="O208" s="2"/>
      <c r="AV208" s="10"/>
    </row>
    <row r="209" spans="14:48" ht="15.75" customHeight="1" x14ac:dyDescent="0.2">
      <c r="N209" s="2"/>
      <c r="O209" s="2"/>
      <c r="AV209" s="10"/>
    </row>
    <row r="210" spans="14:48" ht="15.75" customHeight="1" x14ac:dyDescent="0.2">
      <c r="N210" s="2"/>
      <c r="O210" s="2"/>
      <c r="AV210" s="10"/>
    </row>
    <row r="211" spans="14:48" ht="15.75" customHeight="1" x14ac:dyDescent="0.2">
      <c r="N211" s="2"/>
      <c r="O211" s="2"/>
      <c r="AV211" s="10"/>
    </row>
    <row r="212" spans="14:48" ht="15.75" customHeight="1" x14ac:dyDescent="0.2">
      <c r="N212" s="2"/>
      <c r="O212" s="2"/>
      <c r="AV212" s="10"/>
    </row>
    <row r="213" spans="14:48" ht="15.75" customHeight="1" x14ac:dyDescent="0.2">
      <c r="N213" s="2"/>
      <c r="O213" s="2"/>
      <c r="AV213" s="10"/>
    </row>
    <row r="214" spans="14:48" ht="15.75" customHeight="1" x14ac:dyDescent="0.2">
      <c r="N214" s="2"/>
      <c r="O214" s="2"/>
      <c r="AV214" s="10"/>
    </row>
    <row r="215" spans="14:48" ht="15.75" customHeight="1" x14ac:dyDescent="0.2">
      <c r="N215" s="2"/>
      <c r="O215" s="2"/>
      <c r="AV215" s="10"/>
    </row>
    <row r="216" spans="14:48" ht="15.75" customHeight="1" x14ac:dyDescent="0.2">
      <c r="N216" s="2"/>
      <c r="O216" s="2"/>
      <c r="AV216" s="10"/>
    </row>
    <row r="217" spans="14:48" ht="15.75" customHeight="1" x14ac:dyDescent="0.2">
      <c r="N217" s="2"/>
      <c r="O217" s="2"/>
      <c r="AV217" s="10"/>
    </row>
    <row r="218" spans="14:48" ht="15.75" customHeight="1" x14ac:dyDescent="0.2">
      <c r="N218" s="2"/>
      <c r="O218" s="2"/>
      <c r="AV218" s="10"/>
    </row>
    <row r="219" spans="14:48" ht="15.75" customHeight="1" x14ac:dyDescent="0.2">
      <c r="N219" s="2"/>
      <c r="O219" s="2"/>
      <c r="AV219" s="10"/>
    </row>
    <row r="220" spans="14:48" ht="15.75" customHeight="1" x14ac:dyDescent="0.2">
      <c r="N220" s="2"/>
      <c r="O220" s="2"/>
      <c r="AV220" s="10"/>
    </row>
    <row r="221" spans="14:48" ht="15.75" customHeight="1" x14ac:dyDescent="0.2">
      <c r="N221" s="2"/>
      <c r="O221" s="2"/>
      <c r="AV221" s="10"/>
    </row>
    <row r="222" spans="14:48" ht="15.75" customHeight="1" x14ac:dyDescent="0.2">
      <c r="N222" s="2"/>
      <c r="O222" s="2"/>
      <c r="AV222" s="10"/>
    </row>
    <row r="223" spans="14:48" ht="15.75" customHeight="1" x14ac:dyDescent="0.2">
      <c r="N223" s="2"/>
      <c r="O223" s="2"/>
      <c r="AV223" s="10"/>
    </row>
    <row r="224" spans="14:48" ht="15.75" customHeight="1" x14ac:dyDescent="0.2">
      <c r="N224" s="2"/>
      <c r="O224" s="2"/>
      <c r="AV224" s="10"/>
    </row>
    <row r="225" spans="14:48" ht="15.75" customHeight="1" x14ac:dyDescent="0.2">
      <c r="N225" s="2"/>
      <c r="O225" s="2"/>
      <c r="AV225" s="10"/>
    </row>
    <row r="226" spans="14:48" ht="15.75" customHeight="1" x14ac:dyDescent="0.2">
      <c r="N226" s="2"/>
      <c r="O226" s="2"/>
      <c r="AV226" s="10"/>
    </row>
    <row r="227" spans="14:48" ht="15.75" customHeight="1" x14ac:dyDescent="0.2">
      <c r="N227" s="2"/>
      <c r="O227" s="2"/>
      <c r="AV227" s="10"/>
    </row>
    <row r="228" spans="14:48" ht="15.75" customHeight="1" x14ac:dyDescent="0.2">
      <c r="N228" s="2"/>
      <c r="O228" s="2"/>
      <c r="AV228" s="10"/>
    </row>
    <row r="229" spans="14:48" ht="15.75" customHeight="1" x14ac:dyDescent="0.2">
      <c r="N229" s="2"/>
      <c r="O229" s="2"/>
      <c r="AV229" s="10"/>
    </row>
    <row r="230" spans="14:48" ht="15.75" customHeight="1" x14ac:dyDescent="0.2">
      <c r="N230" s="2"/>
      <c r="O230" s="2"/>
      <c r="AV230" s="10"/>
    </row>
    <row r="231" spans="14:48" ht="15.75" customHeight="1" x14ac:dyDescent="0.2">
      <c r="N231" s="2"/>
      <c r="O231" s="2"/>
      <c r="AV231" s="10"/>
    </row>
    <row r="232" spans="14:48" ht="15.75" customHeight="1" x14ac:dyDescent="0.2">
      <c r="N232" s="2"/>
      <c r="O232" s="2"/>
      <c r="AV232" s="10"/>
    </row>
    <row r="233" spans="14:48" ht="15.75" customHeight="1" x14ac:dyDescent="0.2">
      <c r="N233" s="2"/>
      <c r="O233" s="2"/>
      <c r="AV233" s="10"/>
    </row>
    <row r="234" spans="14:48" ht="15.75" customHeight="1" x14ac:dyDescent="0.2">
      <c r="N234" s="2"/>
      <c r="O234" s="2"/>
      <c r="AV234" s="10"/>
    </row>
    <row r="235" spans="14:48" ht="15.75" customHeight="1" x14ac:dyDescent="0.2">
      <c r="N235" s="2"/>
      <c r="O235" s="2"/>
      <c r="AV235" s="10"/>
    </row>
    <row r="236" spans="14:48" ht="15.75" customHeight="1" x14ac:dyDescent="0.2">
      <c r="N236" s="2"/>
      <c r="O236" s="2"/>
      <c r="AV236" s="10"/>
    </row>
    <row r="237" spans="14:48" ht="15.75" customHeight="1" x14ac:dyDescent="0.2">
      <c r="N237" s="2"/>
      <c r="O237" s="2"/>
      <c r="AV237" s="10"/>
    </row>
    <row r="238" spans="14:48" ht="15.75" customHeight="1" x14ac:dyDescent="0.2">
      <c r="N238" s="2"/>
      <c r="O238" s="2"/>
      <c r="AV238" s="10"/>
    </row>
    <row r="239" spans="14:48" ht="15.75" customHeight="1" x14ac:dyDescent="0.2">
      <c r="N239" s="2"/>
      <c r="O239" s="2"/>
      <c r="AV239" s="10"/>
    </row>
    <row r="240" spans="14:48" ht="15.75" customHeight="1" x14ac:dyDescent="0.2">
      <c r="N240" s="2"/>
      <c r="O240" s="2"/>
      <c r="AV240" s="10"/>
    </row>
    <row r="241" spans="14:48" ht="15.75" customHeight="1" x14ac:dyDescent="0.2">
      <c r="N241" s="2"/>
      <c r="O241" s="2"/>
      <c r="AV241" s="10"/>
    </row>
    <row r="242" spans="14:48" ht="15.75" customHeight="1" x14ac:dyDescent="0.2">
      <c r="N242" s="2"/>
      <c r="O242" s="2"/>
      <c r="AV242" s="10"/>
    </row>
    <row r="243" spans="14:48" ht="15.75" customHeight="1" x14ac:dyDescent="0.2">
      <c r="N243" s="2"/>
      <c r="O243" s="2"/>
      <c r="AV243" s="10"/>
    </row>
    <row r="244" spans="14:48" ht="15.75" customHeight="1" x14ac:dyDescent="0.2">
      <c r="N244" s="2"/>
      <c r="O244" s="2"/>
      <c r="AV244" s="10"/>
    </row>
    <row r="245" spans="14:48" ht="15.75" customHeight="1" x14ac:dyDescent="0.2">
      <c r="N245" s="2"/>
      <c r="O245" s="2"/>
      <c r="AV245" s="10"/>
    </row>
    <row r="246" spans="14:48" ht="15.75" customHeight="1" x14ac:dyDescent="0.2">
      <c r="N246" s="2"/>
      <c r="O246" s="2"/>
      <c r="AV246" s="10"/>
    </row>
    <row r="247" spans="14:48" ht="15.75" customHeight="1" x14ac:dyDescent="0.2">
      <c r="N247" s="2"/>
      <c r="O247" s="2"/>
      <c r="AV247" s="10"/>
    </row>
    <row r="248" spans="14:48" ht="15.75" customHeight="1" x14ac:dyDescent="0.2">
      <c r="N248" s="2"/>
      <c r="O248" s="2"/>
      <c r="AV248" s="10"/>
    </row>
    <row r="249" spans="14:48" ht="15.75" customHeight="1" x14ac:dyDescent="0.2">
      <c r="N249" s="2"/>
      <c r="O249" s="2"/>
      <c r="AV249" s="10"/>
    </row>
    <row r="250" spans="14:48" ht="15.75" customHeight="1" x14ac:dyDescent="0.2">
      <c r="N250" s="2"/>
      <c r="O250" s="2"/>
      <c r="AV250" s="10"/>
    </row>
    <row r="251" spans="14:48" ht="15.75" customHeight="1" x14ac:dyDescent="0.2">
      <c r="N251" s="2"/>
      <c r="O251" s="2"/>
      <c r="AV251" s="10"/>
    </row>
    <row r="252" spans="14:48" ht="15.75" customHeight="1" x14ac:dyDescent="0.2">
      <c r="N252" s="2"/>
      <c r="O252" s="2"/>
      <c r="AV252" s="10"/>
    </row>
    <row r="253" spans="14:48" ht="15.75" customHeight="1" x14ac:dyDescent="0.2">
      <c r="N253" s="2"/>
      <c r="O253" s="2"/>
      <c r="AV253" s="10"/>
    </row>
    <row r="254" spans="14:48" ht="15.75" customHeight="1" x14ac:dyDescent="0.2">
      <c r="N254" s="2"/>
      <c r="O254" s="2"/>
      <c r="AV254" s="10"/>
    </row>
    <row r="255" spans="14:48" ht="15.75" customHeight="1" x14ac:dyDescent="0.2">
      <c r="N255" s="2"/>
      <c r="O255" s="2"/>
      <c r="AV255" s="10"/>
    </row>
    <row r="256" spans="14:48" ht="15.75" customHeight="1" x14ac:dyDescent="0.2">
      <c r="N256" s="2"/>
      <c r="O256" s="2"/>
      <c r="AV256" s="10"/>
    </row>
    <row r="257" spans="14:48" ht="15.75" customHeight="1" x14ac:dyDescent="0.2">
      <c r="N257" s="2"/>
      <c r="O257" s="2"/>
      <c r="AV257" s="10"/>
    </row>
    <row r="258" spans="14:48" ht="15.75" customHeight="1" x14ac:dyDescent="0.2">
      <c r="N258" s="2"/>
      <c r="O258" s="2"/>
      <c r="AV258" s="10"/>
    </row>
    <row r="259" spans="14:48" ht="15.75" customHeight="1" x14ac:dyDescent="0.2">
      <c r="N259" s="2"/>
      <c r="O259" s="2"/>
      <c r="AV259" s="10"/>
    </row>
    <row r="260" spans="14:48" ht="15.75" customHeight="1" x14ac:dyDescent="0.2">
      <c r="N260" s="2"/>
      <c r="O260" s="2"/>
      <c r="AV260" s="10"/>
    </row>
    <row r="261" spans="14:48" ht="15.75" customHeight="1" x14ac:dyDescent="0.2">
      <c r="N261" s="2"/>
      <c r="O261" s="2"/>
      <c r="AV261" s="10"/>
    </row>
    <row r="262" spans="14:48" ht="15.75" customHeight="1" x14ac:dyDescent="0.2">
      <c r="N262" s="2"/>
      <c r="O262" s="2"/>
      <c r="AV262" s="10"/>
    </row>
    <row r="263" spans="14:48" ht="15.75" customHeight="1" x14ac:dyDescent="0.2">
      <c r="N263" s="2"/>
      <c r="O263" s="2"/>
      <c r="AV263" s="10"/>
    </row>
    <row r="264" spans="14:48" ht="15.75" customHeight="1" x14ac:dyDescent="0.2">
      <c r="N264" s="2"/>
      <c r="O264" s="2"/>
      <c r="AV264" s="10"/>
    </row>
    <row r="265" spans="14:48" ht="15.75" customHeight="1" x14ac:dyDescent="0.2">
      <c r="N265" s="2"/>
      <c r="O265" s="2"/>
      <c r="AV265" s="10"/>
    </row>
    <row r="266" spans="14:48" ht="15.75" customHeight="1" x14ac:dyDescent="0.2">
      <c r="N266" s="2"/>
      <c r="O266" s="2"/>
      <c r="AV266" s="10"/>
    </row>
    <row r="267" spans="14:48" ht="15.75" customHeight="1" x14ac:dyDescent="0.2">
      <c r="N267" s="2"/>
      <c r="O267" s="2"/>
      <c r="AV267" s="10"/>
    </row>
    <row r="268" spans="14:48" ht="15.75" customHeight="1" x14ac:dyDescent="0.2">
      <c r="N268" s="2"/>
      <c r="O268" s="2"/>
      <c r="AV268" s="10"/>
    </row>
    <row r="269" spans="14:48" ht="15.75" customHeight="1" x14ac:dyDescent="0.2">
      <c r="N269" s="2"/>
      <c r="O269" s="2"/>
      <c r="AV269" s="10"/>
    </row>
    <row r="270" spans="14:48" ht="15.75" customHeight="1" x14ac:dyDescent="0.2">
      <c r="N270" s="2"/>
      <c r="O270" s="2"/>
      <c r="AV270" s="10"/>
    </row>
    <row r="271" spans="14:48" ht="15.75" customHeight="1" x14ac:dyDescent="0.2">
      <c r="N271" s="2"/>
      <c r="O271" s="2"/>
      <c r="AV271" s="10"/>
    </row>
    <row r="272" spans="14:48" ht="15.75" customHeight="1" x14ac:dyDescent="0.2">
      <c r="N272" s="2"/>
      <c r="O272" s="2"/>
      <c r="AV272" s="10"/>
    </row>
    <row r="273" spans="14:48" ht="15.75" customHeight="1" x14ac:dyDescent="0.2">
      <c r="N273" s="2"/>
      <c r="O273" s="2"/>
      <c r="AV273" s="10"/>
    </row>
    <row r="274" spans="14:48" ht="15.75" customHeight="1" x14ac:dyDescent="0.2">
      <c r="N274" s="2"/>
      <c r="O274" s="2"/>
      <c r="AV274" s="10"/>
    </row>
    <row r="275" spans="14:48" ht="15.75" customHeight="1" x14ac:dyDescent="0.2">
      <c r="N275" s="2"/>
      <c r="O275" s="2"/>
      <c r="AV275" s="10"/>
    </row>
    <row r="276" spans="14:48" ht="15.75" customHeight="1" x14ac:dyDescent="0.2">
      <c r="N276" s="2"/>
      <c r="O276" s="2"/>
      <c r="AV276" s="10"/>
    </row>
    <row r="277" spans="14:48" ht="15.75" customHeight="1" x14ac:dyDescent="0.2">
      <c r="N277" s="2"/>
      <c r="O277" s="2"/>
      <c r="AV277" s="10"/>
    </row>
    <row r="278" spans="14:48" ht="15.75" customHeight="1" x14ac:dyDescent="0.2">
      <c r="N278" s="2"/>
      <c r="O278" s="2"/>
      <c r="AV278" s="10"/>
    </row>
    <row r="279" spans="14:48" ht="15.75" customHeight="1" x14ac:dyDescent="0.2">
      <c r="N279" s="2"/>
      <c r="O279" s="2"/>
      <c r="AV279" s="10"/>
    </row>
    <row r="280" spans="14:48" ht="15.75" customHeight="1" x14ac:dyDescent="0.2">
      <c r="N280" s="2"/>
      <c r="O280" s="2"/>
      <c r="AV280" s="10"/>
    </row>
    <row r="281" spans="14:48" ht="15.75" customHeight="1" x14ac:dyDescent="0.2">
      <c r="N281" s="2"/>
      <c r="O281" s="2"/>
      <c r="AV281" s="10"/>
    </row>
    <row r="282" spans="14:48" ht="15.75" customHeight="1" x14ac:dyDescent="0.2">
      <c r="N282" s="2"/>
      <c r="O282" s="2"/>
      <c r="AV282" s="10"/>
    </row>
    <row r="283" spans="14:48" ht="15.75" customHeight="1" x14ac:dyDescent="0.2">
      <c r="N283" s="2"/>
      <c r="O283" s="2"/>
      <c r="AV283" s="10"/>
    </row>
    <row r="284" spans="14:48" ht="15.75" customHeight="1" x14ac:dyDescent="0.2">
      <c r="N284" s="2"/>
      <c r="O284" s="2"/>
      <c r="AV284" s="10"/>
    </row>
    <row r="285" spans="14:48" ht="15.75" customHeight="1" x14ac:dyDescent="0.2">
      <c r="N285" s="2"/>
      <c r="O285" s="2"/>
      <c r="AV285" s="10"/>
    </row>
    <row r="286" spans="14:48" ht="15.75" customHeight="1" x14ac:dyDescent="0.2">
      <c r="N286" s="2"/>
      <c r="O286" s="2"/>
      <c r="AV286" s="10"/>
    </row>
    <row r="287" spans="14:48" ht="15.75" customHeight="1" x14ac:dyDescent="0.2">
      <c r="N287" s="2"/>
      <c r="O287" s="2"/>
      <c r="AV287" s="10"/>
    </row>
    <row r="288" spans="14:48" ht="15.75" customHeight="1" x14ac:dyDescent="0.2">
      <c r="N288" s="2"/>
      <c r="O288" s="2"/>
      <c r="AV288" s="10"/>
    </row>
    <row r="289" spans="14:48" ht="15.75" customHeight="1" x14ac:dyDescent="0.2">
      <c r="N289" s="2"/>
      <c r="O289" s="2"/>
      <c r="AV289" s="10"/>
    </row>
    <row r="290" spans="14:48" ht="15.75" customHeight="1" x14ac:dyDescent="0.2">
      <c r="N290" s="2"/>
      <c r="O290" s="2"/>
      <c r="AV290" s="10"/>
    </row>
    <row r="291" spans="14:48" ht="15.75" customHeight="1" x14ac:dyDescent="0.2">
      <c r="N291" s="2"/>
      <c r="O291" s="2"/>
      <c r="AV291" s="10"/>
    </row>
    <row r="292" spans="14:48" ht="15.75" customHeight="1" x14ac:dyDescent="0.15"/>
    <row r="293" spans="14:48" ht="15.75" customHeight="1" x14ac:dyDescent="0.15"/>
    <row r="294" spans="14:48" ht="15.75" customHeight="1" x14ac:dyDescent="0.15"/>
    <row r="295" spans="14:48" ht="15.75" customHeight="1" x14ac:dyDescent="0.15"/>
    <row r="296" spans="14:48" ht="15.75" customHeight="1" x14ac:dyDescent="0.15"/>
    <row r="297" spans="14:48" ht="15.75" customHeight="1" x14ac:dyDescent="0.15"/>
    <row r="298" spans="14:48" ht="15.75" customHeight="1" x14ac:dyDescent="0.15"/>
    <row r="299" spans="14:48" ht="15.75" customHeight="1" x14ac:dyDescent="0.15"/>
    <row r="300" spans="14:48" ht="15.75" customHeight="1" x14ac:dyDescent="0.15"/>
    <row r="301" spans="14:48" ht="15.75" customHeight="1" x14ac:dyDescent="0.15"/>
    <row r="302" spans="14:48" ht="15.75" customHeight="1" x14ac:dyDescent="0.15"/>
    <row r="303" spans="14:48" ht="15.75" customHeight="1" x14ac:dyDescent="0.15"/>
    <row r="304" spans="14:48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</sheetData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jnpuy</dc:creator>
  <cp:lastModifiedBy>Jorge Isla</cp:lastModifiedBy>
  <dcterms:created xsi:type="dcterms:W3CDTF">2020-10-09T08:09:36Z</dcterms:created>
  <dcterms:modified xsi:type="dcterms:W3CDTF">2025-09-15T09:35:53Z</dcterms:modified>
</cp:coreProperties>
</file>