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"/>
    </mc:Choice>
  </mc:AlternateContent>
  <xr:revisionPtr revIDLastSave="0" documentId="13_ncr:1_{16087997-2D41-2C4B-A772-B86741D85875}" xr6:coauthVersionLast="47" xr6:coauthVersionMax="47" xr10:uidLastSave="{00000000-0000-0000-0000-000000000000}"/>
  <bookViews>
    <workbookView xWindow="340" yWindow="500" windowWidth="23160" windowHeight="17480" xr2:uid="{84ECC336-BDBB-BA49-A794-848FCFCCFB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O41" i="1"/>
  <c r="L42" i="1"/>
  <c r="L41" i="1"/>
  <c r="I42" i="1"/>
  <c r="I41" i="1"/>
  <c r="F42" i="1"/>
  <c r="F41" i="1"/>
  <c r="C42" i="1"/>
  <c r="C41" i="1"/>
  <c r="O21" i="1"/>
  <c r="O20" i="1"/>
  <c r="L21" i="1"/>
  <c r="L20" i="1"/>
  <c r="I21" i="1"/>
  <c r="I20" i="1"/>
  <c r="F21" i="1"/>
  <c r="F20" i="1"/>
  <c r="C21" i="1"/>
  <c r="C20" i="1"/>
  <c r="I3" i="1"/>
  <c r="I2" i="1"/>
  <c r="F3" i="1"/>
  <c r="F2" i="1"/>
  <c r="C3" i="1"/>
  <c r="C2" i="1"/>
  <c r="L12" i="1"/>
  <c r="L11" i="1"/>
  <c r="I12" i="1"/>
  <c r="I11" i="1"/>
  <c r="F12" i="1"/>
  <c r="F11" i="1"/>
  <c r="C12" i="1"/>
  <c r="C11" i="1"/>
  <c r="L3" i="1"/>
  <c r="L2" i="1"/>
</calcChain>
</file>

<file path=xl/sharedStrings.xml><?xml version="1.0" encoding="utf-8"?>
<sst xmlns="http://schemas.openxmlformats.org/spreadsheetml/2006/main" count="18" uniqueCount="11">
  <si>
    <t>Muela Bacteria</t>
    <phoneticPr fontId="2" type="noConversion"/>
  </si>
  <si>
    <t>Muela Fungi</t>
    <phoneticPr fontId="2" type="noConversion"/>
  </si>
  <si>
    <t>Quintos Bacteria</t>
    <phoneticPr fontId="2" type="noConversion"/>
  </si>
  <si>
    <t>Quintos Fungi</t>
    <phoneticPr fontId="2" type="noConversion"/>
  </si>
  <si>
    <t>Control A</t>
    <phoneticPr fontId="2" type="noConversion"/>
  </si>
  <si>
    <t>Treatment A</t>
    <phoneticPr fontId="2" type="noConversion"/>
  </si>
  <si>
    <t>Treatment B</t>
    <phoneticPr fontId="2" type="noConversion"/>
  </si>
  <si>
    <t>Control B</t>
    <phoneticPr fontId="2" type="noConversion"/>
  </si>
  <si>
    <t>Control</t>
    <phoneticPr fontId="2" type="noConversion"/>
  </si>
  <si>
    <t>Forest</t>
    <phoneticPr fontId="2" type="noConversion"/>
  </si>
  <si>
    <t>Shrub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</si>
</sst>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0.00_);[Red]\(0.00\)"/>
  </numFmts>
  <fonts count="4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81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02-8EB2-9A4A-8CFA-1106CFE2508C}">
  <dimension ref="A1:O58"/>
  <sheetViews>
    <sheetView tabSelected="1" topLeftCell="H1" zoomScale="211" zoomScaleNormal="211" workbookViewId="0">
      <selection activeCell="C18" sqref="C18"/>
    </sheetView>
  </sheetViews>
  <sheetFormatPr baseColWidth="10" defaultRowHeight="16"/>
  <cols>
    <col min="1" max="1" width="16.33203125" style="2" customWidth="1"/>
    <col min="2" max="4" width="10.83203125" style="1"/>
    <col min="5" max="5" width="11.33203125" style="1" customWidth="1"/>
    <col min="6" max="10" width="10.83203125" style="1"/>
    <col min="11" max="11" width="11.5" style="1" customWidth="1"/>
    <col min="12" max="12" width="10.83203125" style="1"/>
    <col min="13" max="13" width="10.83203125" style="2"/>
    <col min="14" max="15" width="10.83203125" style="4"/>
  </cols>
  <sheetData>
    <row r="1" spans="1:12">
      <c r="A1" s="2" t="s">
        <v>0</v>
      </c>
      <c r="B1" s="1" t="s">
        <v>4</v>
      </c>
      <c r="E1" s="1" t="s">
        <v>5</v>
      </c>
      <c r="H1" s="1" t="s">
        <v>7</v>
      </c>
      <c r="K1" s="1" t="s">
        <v>6</v>
      </c>
    </row>
    <row r="2" spans="1:12">
      <c r="B2" s="1">
        <v>14.01</v>
      </c>
      <c r="C2" s="1">
        <f>AVERAGE(B2:B7)</f>
        <v>12.56</v>
      </c>
      <c r="E2" s="1">
        <v>10.31</v>
      </c>
      <c r="F2" s="1">
        <f>AVERAGE(E2:E6)</f>
        <v>6.322000000000001</v>
      </c>
      <c r="H2" s="1">
        <v>25.78</v>
      </c>
      <c r="I2" s="1">
        <f>AVERAGE(H2:H7)</f>
        <v>14.035000000000002</v>
      </c>
      <c r="K2" s="1">
        <v>7.91</v>
      </c>
      <c r="L2" s="1">
        <f>AVERAGE(K2:K7)</f>
        <v>12.93</v>
      </c>
    </row>
    <row r="3" spans="1:12">
      <c r="B3" s="1">
        <v>10.01</v>
      </c>
      <c r="C3" s="1">
        <f>_xlfn.STDEV.P(B2:B7)</f>
        <v>4.4986812882591858</v>
      </c>
      <c r="E3" s="1">
        <v>7.43</v>
      </c>
      <c r="F3" s="1">
        <f>_xlfn.STDEV.P(E2:E6)</f>
        <v>2.9256889786851894</v>
      </c>
      <c r="H3" s="1">
        <v>12.45</v>
      </c>
      <c r="I3" s="1">
        <f>_xlfn.STDEV.P(H2:H7)</f>
        <v>5.2717731046268117</v>
      </c>
      <c r="K3" s="1">
        <v>20.95</v>
      </c>
      <c r="L3" s="1">
        <f>_xlfn.STDEV.P(K2:K7)</f>
        <v>4.4955718953951385</v>
      </c>
    </row>
    <row r="4" spans="1:12">
      <c r="B4" s="1">
        <v>21.29</v>
      </c>
      <c r="E4" s="1">
        <v>7.92</v>
      </c>
      <c r="H4" s="1">
        <v>11.12</v>
      </c>
      <c r="K4" s="1">
        <v>16.739999999999998</v>
      </c>
    </row>
    <row r="5" spans="1:12">
      <c r="B5" s="1">
        <v>12.14</v>
      </c>
      <c r="E5" s="1">
        <v>3.57</v>
      </c>
      <c r="H5" s="1">
        <v>11.28</v>
      </c>
      <c r="K5" s="1">
        <v>9.6</v>
      </c>
    </row>
    <row r="6" spans="1:12">
      <c r="B6" s="1">
        <v>11.24</v>
      </c>
      <c r="E6" s="1">
        <v>2.38</v>
      </c>
      <c r="H6" s="1">
        <v>11.54</v>
      </c>
      <c r="K6" s="1">
        <v>10.99</v>
      </c>
    </row>
    <row r="7" spans="1:12">
      <c r="B7" s="1">
        <v>6.67</v>
      </c>
      <c r="H7" s="1">
        <v>12.04</v>
      </c>
      <c r="K7" s="1">
        <v>11.39</v>
      </c>
    </row>
    <row r="11" spans="1:12">
      <c r="A11" s="2" t="s">
        <v>1</v>
      </c>
      <c r="B11" s="1">
        <v>2.3199999999999998</v>
      </c>
      <c r="C11" s="1">
        <f>AVERAGE(B11:B16)</f>
        <v>2.23</v>
      </c>
      <c r="E11" s="1">
        <v>2.35</v>
      </c>
      <c r="F11" s="1">
        <f>AVERAGE(E11:E15)</f>
        <v>2.3200000000000003</v>
      </c>
      <c r="H11" s="1">
        <v>2.23</v>
      </c>
      <c r="I11" s="1">
        <f>AVERAGE(H11:H16)</f>
        <v>2.2783333333333329</v>
      </c>
      <c r="K11" s="1">
        <v>2.3199999999999998</v>
      </c>
      <c r="L11" s="1">
        <f>AVERAGE(K11:K16)</f>
        <v>2.3166666666666664</v>
      </c>
    </row>
    <row r="12" spans="1:12">
      <c r="B12" s="1">
        <v>2.2799999999999998</v>
      </c>
      <c r="C12" s="1">
        <f>STDEV(B11:B16)</f>
        <v>0.11558546621439908</v>
      </c>
      <c r="E12" s="1">
        <v>2.2799999999999998</v>
      </c>
      <c r="F12" s="1">
        <f>STDEV(E11:E15)</f>
        <v>3.00000000000001E-2</v>
      </c>
      <c r="H12" s="1">
        <v>2.11</v>
      </c>
      <c r="I12" s="1">
        <f>STDEV(H11:H16)</f>
        <v>9.4533944520826335E-2</v>
      </c>
      <c r="K12" s="1">
        <v>2.36</v>
      </c>
      <c r="L12" s="1">
        <f>STDEV(K11:K16)</f>
        <v>3.3862466931200853E-2</v>
      </c>
    </row>
    <row r="13" spans="1:12">
      <c r="B13" s="1">
        <v>2</v>
      </c>
      <c r="E13" s="1">
        <v>2.35</v>
      </c>
      <c r="H13" s="1">
        <v>2.3199999999999998</v>
      </c>
      <c r="K13" s="1">
        <v>2.2799999999999998</v>
      </c>
    </row>
    <row r="14" spans="1:12">
      <c r="B14" s="1">
        <v>2.2400000000000002</v>
      </c>
      <c r="E14" s="1">
        <v>2.31</v>
      </c>
      <c r="H14" s="1">
        <v>2.35</v>
      </c>
      <c r="K14" s="1">
        <v>2.31</v>
      </c>
    </row>
    <row r="15" spans="1:12">
      <c r="B15" s="1">
        <v>2.27</v>
      </c>
      <c r="E15" s="1">
        <v>2.31</v>
      </c>
      <c r="H15" s="1">
        <v>2.2999999999999998</v>
      </c>
      <c r="K15" s="1">
        <v>2.2799999999999998</v>
      </c>
    </row>
    <row r="16" spans="1:12">
      <c r="B16" s="1">
        <v>2.27</v>
      </c>
      <c r="H16" s="1">
        <v>2.36</v>
      </c>
      <c r="K16" s="1">
        <v>2.35</v>
      </c>
    </row>
    <row r="19" spans="1:15">
      <c r="A19" s="3" t="s">
        <v>2</v>
      </c>
      <c r="B19" s="1" t="s">
        <v>8</v>
      </c>
      <c r="E19" s="1" t="s">
        <v>5</v>
      </c>
      <c r="H19" s="1" t="s">
        <v>6</v>
      </c>
      <c r="K19" s="1" t="s">
        <v>9</v>
      </c>
      <c r="N19" s="4" t="s">
        <v>10</v>
      </c>
    </row>
    <row r="20" spans="1:15">
      <c r="B20" s="1">
        <v>5.47</v>
      </c>
      <c r="C20" s="1">
        <f>AVERAGE(B20:B31)</f>
        <v>24.676666666666666</v>
      </c>
      <c r="E20" s="1">
        <v>14.66</v>
      </c>
      <c r="F20" s="1">
        <f>AVERAGE(E20:E30)</f>
        <v>24.696363636363632</v>
      </c>
      <c r="H20" s="1">
        <v>6.92</v>
      </c>
      <c r="I20" s="1">
        <f>AVERAGE(H20:H31)</f>
        <v>30.106666666666666</v>
      </c>
      <c r="K20" s="1">
        <v>44.86</v>
      </c>
      <c r="L20" s="1">
        <f>AVERAGE(K20:K37)</f>
        <v>38.852222222222238</v>
      </c>
      <c r="N20" s="4">
        <v>14.66</v>
      </c>
      <c r="O20" s="4">
        <f>AVERAGE(N20:N36)</f>
        <v>13.683529411764706</v>
      </c>
    </row>
    <row r="21" spans="1:15">
      <c r="B21" s="1">
        <v>12.41</v>
      </c>
      <c r="C21" s="1">
        <f>STDEV(B20:B31)</f>
        <v>10.523747460199745</v>
      </c>
      <c r="E21" s="1">
        <v>9.7799999999999994</v>
      </c>
      <c r="F21" s="1">
        <f>STDEV(E20:E30)</f>
        <v>16.891714106464907</v>
      </c>
      <c r="H21" s="1">
        <v>4.55</v>
      </c>
      <c r="I21" s="1">
        <f>STDEV(H20:H31)</f>
        <v>23.786159968784492</v>
      </c>
      <c r="K21" s="1">
        <v>9.7799999999999994</v>
      </c>
      <c r="L21" s="1">
        <f>STDEV(K20:K37)</f>
        <v>15.170184982995423</v>
      </c>
      <c r="N21" s="4">
        <v>6.92</v>
      </c>
      <c r="O21" s="4">
        <f>STDEV(N20:N36)</f>
        <v>8.2414045686828086</v>
      </c>
    </row>
    <row r="22" spans="1:15">
      <c r="B22" s="1">
        <v>14.12</v>
      </c>
      <c r="E22" s="1">
        <v>61.96</v>
      </c>
      <c r="H22" s="1">
        <v>7.19</v>
      </c>
      <c r="K22" s="1">
        <v>61.95</v>
      </c>
      <c r="N22" s="4">
        <v>4.55</v>
      </c>
    </row>
    <row r="23" spans="1:15">
      <c r="B23" s="1">
        <v>32.22</v>
      </c>
      <c r="E23" s="1">
        <v>12.28</v>
      </c>
      <c r="H23" s="1">
        <v>51.52</v>
      </c>
      <c r="K23" s="1">
        <v>51.52</v>
      </c>
      <c r="N23" s="4">
        <v>7.19</v>
      </c>
    </row>
    <row r="24" spans="1:15">
      <c r="B24" s="1">
        <v>27.39</v>
      </c>
      <c r="E24" s="1">
        <v>14.57</v>
      </c>
      <c r="H24" s="1">
        <v>63.13</v>
      </c>
      <c r="K24" s="1">
        <v>63.13</v>
      </c>
      <c r="N24" s="4">
        <v>5.74</v>
      </c>
    </row>
    <row r="25" spans="1:15">
      <c r="B25" s="1">
        <v>28.67</v>
      </c>
      <c r="E25" s="1">
        <v>15.26</v>
      </c>
      <c r="H25" s="1">
        <v>64.64</v>
      </c>
      <c r="K25" s="1">
        <v>64.64</v>
      </c>
      <c r="N25" s="4">
        <v>12.41</v>
      </c>
    </row>
    <row r="26" spans="1:15">
      <c r="B26" s="1">
        <v>25.78</v>
      </c>
      <c r="E26" s="1">
        <v>32.28</v>
      </c>
      <c r="H26" s="1">
        <v>11.66</v>
      </c>
      <c r="K26" s="1">
        <v>32.22</v>
      </c>
      <c r="N26" s="4">
        <v>14.12</v>
      </c>
    </row>
    <row r="27" spans="1:15">
      <c r="B27" s="1">
        <v>39.21</v>
      </c>
      <c r="E27" s="1">
        <v>25.18</v>
      </c>
      <c r="H27" s="1">
        <v>10.46</v>
      </c>
      <c r="K27" s="1">
        <v>27.39</v>
      </c>
      <c r="N27" s="4">
        <v>12.28</v>
      </c>
    </row>
    <row r="28" spans="1:15">
      <c r="B28" s="1">
        <v>14.35</v>
      </c>
      <c r="E28" s="1">
        <v>32.54</v>
      </c>
      <c r="H28" s="1">
        <v>15.18</v>
      </c>
      <c r="K28" s="1">
        <v>28.67</v>
      </c>
      <c r="N28" s="4">
        <v>14.57</v>
      </c>
    </row>
    <row r="29" spans="1:15">
      <c r="B29" s="1">
        <v>31.46</v>
      </c>
      <c r="E29" s="1">
        <v>8.2799999999999994</v>
      </c>
      <c r="H29" s="1">
        <v>57.95</v>
      </c>
      <c r="K29" s="1">
        <v>32.28</v>
      </c>
      <c r="N29" s="4">
        <v>15.26</v>
      </c>
    </row>
    <row r="30" spans="1:15">
      <c r="A30" s="3"/>
      <c r="B30" s="1">
        <v>35.61</v>
      </c>
      <c r="E30" s="1">
        <v>44.87</v>
      </c>
      <c r="H30" s="1">
        <v>36.36</v>
      </c>
      <c r="K30" s="1">
        <v>25.18</v>
      </c>
      <c r="N30" s="4">
        <v>11.66</v>
      </c>
    </row>
    <row r="31" spans="1:15">
      <c r="A31" s="3"/>
      <c r="B31" s="1">
        <v>29.43</v>
      </c>
      <c r="H31" s="1">
        <v>31.72</v>
      </c>
      <c r="K31" s="1">
        <v>32.54</v>
      </c>
      <c r="N31" s="4">
        <v>10.46</v>
      </c>
    </row>
    <row r="32" spans="1:15">
      <c r="A32" s="3"/>
      <c r="K32" s="1">
        <v>57.95</v>
      </c>
      <c r="N32" s="4">
        <v>15.18</v>
      </c>
    </row>
    <row r="33" spans="1:15">
      <c r="A33" s="3"/>
      <c r="K33" s="1">
        <v>36.36</v>
      </c>
      <c r="N33" s="4">
        <v>25.78</v>
      </c>
    </row>
    <row r="34" spans="1:15">
      <c r="A34" s="3"/>
      <c r="K34" s="1">
        <v>31.72</v>
      </c>
      <c r="N34" s="4">
        <v>39.21</v>
      </c>
    </row>
    <row r="35" spans="1:15">
      <c r="K35" s="1">
        <v>32.46</v>
      </c>
      <c r="N35" s="4">
        <v>14.35</v>
      </c>
    </row>
    <row r="36" spans="1:15">
      <c r="K36" s="1">
        <v>35.61</v>
      </c>
      <c r="N36" s="4">
        <v>8.2799999999999994</v>
      </c>
    </row>
    <row r="37" spans="1:15">
      <c r="K37" s="1">
        <v>31.08</v>
      </c>
    </row>
    <row r="40" spans="1:15">
      <c r="A40" s="3" t="s">
        <v>3</v>
      </c>
      <c r="B40" s="1" t="s">
        <v>8</v>
      </c>
      <c r="E40" s="1" t="s">
        <v>5</v>
      </c>
      <c r="H40" s="1" t="s">
        <v>6</v>
      </c>
      <c r="K40" s="1" t="s">
        <v>9</v>
      </c>
      <c r="N40" s="4" t="s">
        <v>10</v>
      </c>
    </row>
    <row r="41" spans="1:15">
      <c r="B41" s="1">
        <v>2.74</v>
      </c>
      <c r="C41" s="1">
        <f>AVERAGE(B41:B52)</f>
        <v>2.9758333333333336</v>
      </c>
      <c r="E41" s="1">
        <v>3.83</v>
      </c>
      <c r="F41" s="1">
        <f>AVERAGE(E41:E51)</f>
        <v>3.1709090909090913</v>
      </c>
      <c r="H41" s="1">
        <v>3.03</v>
      </c>
      <c r="I41" s="1">
        <f>AVERAGE(H41:H52)</f>
        <v>3.0991666666666666</v>
      </c>
      <c r="K41" s="1">
        <v>3.37</v>
      </c>
      <c r="L41" s="1">
        <f>AVERAGE(K41:K58)</f>
        <v>2.8972222222222221</v>
      </c>
      <c r="N41" s="4">
        <v>3.38</v>
      </c>
      <c r="O41" s="4">
        <f>AVERAGE(N41:N57)</f>
        <v>3.2470588235294113</v>
      </c>
    </row>
    <row r="42" spans="1:15">
      <c r="B42" s="1">
        <v>3.46</v>
      </c>
      <c r="C42" s="1">
        <f>STDEV(B41:B52)</f>
        <v>0.37029369997668266</v>
      </c>
      <c r="E42" s="1">
        <v>3.37</v>
      </c>
      <c r="F42" s="1">
        <f>STDEV(E41:E51)</f>
        <v>0.50335781598092755</v>
      </c>
      <c r="H42" s="1">
        <v>3.62</v>
      </c>
      <c r="I42" s="1">
        <f>STDEV(H41:H52)</f>
        <v>0.4464498003610563</v>
      </c>
      <c r="K42" s="1">
        <v>3.09</v>
      </c>
      <c r="L42" s="1">
        <f>STDEV(K41:K58)</f>
        <v>0.47273678232128208</v>
      </c>
      <c r="N42" s="4">
        <v>3.03</v>
      </c>
      <c r="O42" s="4">
        <f>STDEV(N41:N57)</f>
        <v>0.26553636064300007</v>
      </c>
    </row>
    <row r="43" spans="1:15">
      <c r="B43" s="1">
        <v>3.58</v>
      </c>
      <c r="E43" s="1">
        <v>3.09</v>
      </c>
      <c r="H43" s="1">
        <v>3.61</v>
      </c>
      <c r="K43" s="1">
        <v>2.97</v>
      </c>
      <c r="N43" s="4">
        <v>3.62</v>
      </c>
    </row>
    <row r="44" spans="1:15">
      <c r="B44" s="1">
        <v>3</v>
      </c>
      <c r="E44" s="1">
        <v>2.97</v>
      </c>
      <c r="H44" s="1">
        <v>3.2</v>
      </c>
      <c r="K44" s="1">
        <v>3.2</v>
      </c>
      <c r="N44" s="4">
        <v>3.62</v>
      </c>
    </row>
    <row r="45" spans="1:15">
      <c r="B45" s="1">
        <v>2.74</v>
      </c>
      <c r="E45" s="1">
        <v>2.95</v>
      </c>
      <c r="H45" s="1">
        <v>3.74</v>
      </c>
      <c r="K45" s="1">
        <v>3.73</v>
      </c>
      <c r="N45" s="4">
        <v>2.74</v>
      </c>
    </row>
    <row r="46" spans="1:15">
      <c r="B46" s="1">
        <v>2.99</v>
      </c>
      <c r="E46" s="1">
        <v>3.4</v>
      </c>
      <c r="H46" s="1">
        <v>2.72</v>
      </c>
      <c r="K46" s="1">
        <v>2.72</v>
      </c>
      <c r="N46" s="4">
        <v>3.46</v>
      </c>
    </row>
    <row r="47" spans="1:15">
      <c r="B47" s="1">
        <v>3.39</v>
      </c>
      <c r="E47" s="1">
        <v>3.18</v>
      </c>
      <c r="H47" s="1">
        <v>3.2</v>
      </c>
      <c r="K47" s="1">
        <v>3</v>
      </c>
      <c r="N47" s="4">
        <v>3.58</v>
      </c>
    </row>
    <row r="48" spans="1:15">
      <c r="B48" s="1">
        <v>3.23</v>
      </c>
      <c r="E48" s="1">
        <v>2.39</v>
      </c>
      <c r="H48" s="1">
        <v>2.99</v>
      </c>
      <c r="K48" s="1">
        <v>2.74</v>
      </c>
      <c r="N48" s="4">
        <v>2.95</v>
      </c>
    </row>
    <row r="49" spans="2:14">
      <c r="B49" s="1">
        <v>2.89</v>
      </c>
      <c r="E49" s="1">
        <v>2.36</v>
      </c>
      <c r="H49" s="1">
        <v>3.11</v>
      </c>
      <c r="K49" s="1">
        <v>2.99</v>
      </c>
      <c r="N49" s="4">
        <v>3.4</v>
      </c>
    </row>
    <row r="50" spans="2:14">
      <c r="B50" s="1">
        <v>2.54</v>
      </c>
      <c r="E50" s="1">
        <v>3.94</v>
      </c>
      <c r="H50" s="1">
        <v>3.16</v>
      </c>
      <c r="K50" s="1">
        <v>2.39</v>
      </c>
      <c r="N50" s="4">
        <v>3.18</v>
      </c>
    </row>
    <row r="51" spans="2:14">
      <c r="B51" s="1">
        <v>2.72</v>
      </c>
      <c r="E51" s="1">
        <v>3.4</v>
      </c>
      <c r="H51" s="1">
        <v>2.63</v>
      </c>
      <c r="K51" s="1">
        <v>2.36</v>
      </c>
      <c r="N51" s="4">
        <v>3.21</v>
      </c>
    </row>
    <row r="52" spans="2:14">
      <c r="B52" s="1">
        <v>2.4300000000000002</v>
      </c>
      <c r="H52" s="1">
        <v>2.1800000000000002</v>
      </c>
      <c r="K52" s="1">
        <v>3.94</v>
      </c>
      <c r="N52" s="4">
        <v>3</v>
      </c>
    </row>
    <row r="53" spans="2:14">
      <c r="K53" s="1">
        <v>3.16</v>
      </c>
      <c r="N53" s="4">
        <v>3.11</v>
      </c>
    </row>
    <row r="54" spans="2:14">
      <c r="K54" s="1">
        <v>2.63</v>
      </c>
      <c r="N54" s="4">
        <v>3.4</v>
      </c>
    </row>
    <row r="55" spans="2:14">
      <c r="K55" s="1">
        <v>2.1800000000000002</v>
      </c>
      <c r="N55" s="4">
        <v>3.23</v>
      </c>
    </row>
    <row r="56" spans="2:14">
      <c r="K56" s="1">
        <v>2.5299999999999998</v>
      </c>
      <c r="N56" s="4">
        <v>2.89</v>
      </c>
    </row>
    <row r="57" spans="2:14">
      <c r="K57" s="1">
        <v>2.72</v>
      </c>
      <c r="N57" s="4">
        <v>3.4</v>
      </c>
    </row>
    <row r="58" spans="2:14">
      <c r="K58" s="1">
        <v>2.4300000000000002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2023-09-24T02:44:54Z</dcterms:created>
  <dcterms:modified xsi:type="dcterms:W3CDTF">2023-10-05T14:58:37Z</dcterms:modified>
</cp:coreProperties>
</file>