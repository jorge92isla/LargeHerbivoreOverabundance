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h-chiehchien/Desktop/Research/Microbial genome analysis/Data for plots/Soil Property Data/"/>
    </mc:Choice>
  </mc:AlternateContent>
  <xr:revisionPtr revIDLastSave="0" documentId="13_ncr:1_{F0D92A4D-703C-D845-9938-4964ABC76FA1}" xr6:coauthVersionLast="47" xr6:coauthVersionMax="47" xr10:uidLastSave="{00000000-0000-0000-0000-000000000000}"/>
  <bookViews>
    <workbookView xWindow="220" yWindow="500" windowWidth="31120" windowHeight="18380" xr2:uid="{84ECC336-BDBB-BA49-A794-848FCFCCFB9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8" i="1" l="1"/>
  <c r="D77" i="1"/>
  <c r="D63" i="1"/>
  <c r="D62" i="1"/>
  <c r="D39" i="1"/>
  <c r="D38" i="1"/>
  <c r="D30" i="1"/>
  <c r="D29" i="1"/>
  <c r="D21" i="1"/>
  <c r="D20" i="1"/>
  <c r="D12" i="1"/>
  <c r="D11" i="1"/>
  <c r="D3" i="1"/>
  <c r="D2" i="1"/>
</calcChain>
</file>

<file path=xl/sharedStrings.xml><?xml version="1.0" encoding="utf-8"?>
<sst xmlns="http://schemas.openxmlformats.org/spreadsheetml/2006/main" count="92" uniqueCount="9">
  <si>
    <t>Group</t>
    <phoneticPr fontId="2" type="noConversion"/>
  </si>
  <si>
    <t>M-Control A</t>
    <phoneticPr fontId="2" type="noConversion"/>
  </si>
  <si>
    <t>M-Treatment A</t>
    <phoneticPr fontId="2" type="noConversion"/>
  </si>
  <si>
    <t>M-Control B</t>
    <phoneticPr fontId="2" type="noConversion"/>
  </si>
  <si>
    <t>M-Treatment B</t>
    <phoneticPr fontId="2" type="noConversion"/>
  </si>
  <si>
    <t>Q-Control</t>
    <phoneticPr fontId="2" type="noConversion"/>
  </si>
  <si>
    <t>Q-Treatment A</t>
    <phoneticPr fontId="2" type="noConversion"/>
  </si>
  <si>
    <t>Q-Treatment B</t>
    <phoneticPr fontId="2" type="noConversion"/>
  </si>
  <si>
    <t>STN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</si>
</sst>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right"/>
    </xf>
    <xf numFmtId="0" fontId="5" fillId="0" borderId="0" xfId="0" applyFont="1" applyAlignment="1"/>
    <xf numFmtId="176" fontId="6" fillId="0" borderId="0" xfId="0" applyNumberFormat="1" applyFont="1" applyAlignment="1">
      <alignment horizontal="right"/>
    </xf>
    <xf numFmtId="176" fontId="4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176" fontId="6" fillId="0" borderId="0" xfId="0" applyNumberFormat="1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F4802-8EB2-9A4A-8CFA-1106CFE2508C}">
  <dimension ref="A1:E91"/>
  <sheetViews>
    <sheetView tabSelected="1" topLeftCell="A54" zoomScale="201" zoomScaleNormal="201" workbookViewId="0">
      <selection activeCell="B80" sqref="B80"/>
    </sheetView>
  </sheetViews>
  <sheetFormatPr baseColWidth="10" defaultRowHeight="16"/>
  <cols>
    <col min="1" max="1" width="16" style="1" customWidth="1"/>
    <col min="2" max="2" width="10.83203125" style="8"/>
    <col min="4" max="4" width="10.83203125" style="8"/>
  </cols>
  <sheetData>
    <row r="1" spans="1:4" s="3" customFormat="1">
      <c r="A1" s="2" t="s">
        <v>0</v>
      </c>
      <c r="B1" s="7" t="s">
        <v>8</v>
      </c>
      <c r="D1" s="7"/>
    </row>
    <row r="2" spans="1:4">
      <c r="A2" s="1" t="s">
        <v>1</v>
      </c>
      <c r="B2" s="8">
        <v>3.4</v>
      </c>
      <c r="D2" s="8">
        <f>AVERAGE(B2:B10)</f>
        <v>3.8999999999999995</v>
      </c>
    </row>
    <row r="3" spans="1:4">
      <c r="A3" s="1" t="s">
        <v>1</v>
      </c>
      <c r="B3" s="8">
        <v>3.8</v>
      </c>
      <c r="D3" s="8">
        <f>STDEV(B2:B10)</f>
        <v>0.64226162893326033</v>
      </c>
    </row>
    <row r="4" spans="1:4">
      <c r="A4" s="1" t="s">
        <v>1</v>
      </c>
      <c r="B4" s="8">
        <v>4.5999999999999996</v>
      </c>
    </row>
    <row r="5" spans="1:4">
      <c r="A5" s="1" t="s">
        <v>1</v>
      </c>
      <c r="B5" s="8">
        <v>4.5999999999999996</v>
      </c>
    </row>
    <row r="6" spans="1:4">
      <c r="A6" s="1" t="s">
        <v>1</v>
      </c>
      <c r="B6" s="8">
        <v>3.5</v>
      </c>
    </row>
    <row r="7" spans="1:4">
      <c r="A7" s="1" t="s">
        <v>1</v>
      </c>
      <c r="B7" s="8">
        <v>2.9</v>
      </c>
    </row>
    <row r="8" spans="1:4">
      <c r="A8" s="1" t="s">
        <v>1</v>
      </c>
      <c r="B8" s="8">
        <v>3.4</v>
      </c>
    </row>
    <row r="9" spans="1:4">
      <c r="A9" s="1" t="s">
        <v>1</v>
      </c>
      <c r="B9" s="8">
        <v>4.5999999999999996</v>
      </c>
    </row>
    <row r="10" spans="1:4">
      <c r="A10" s="1" t="s">
        <v>1</v>
      </c>
      <c r="B10" s="8">
        <v>4.3</v>
      </c>
    </row>
    <row r="11" spans="1:4">
      <c r="A11" s="1" t="s">
        <v>2</v>
      </c>
      <c r="B11" s="8">
        <v>5.7</v>
      </c>
      <c r="D11" s="8">
        <f>AVERAGE(B11:B19)</f>
        <v>6.2</v>
      </c>
    </row>
    <row r="12" spans="1:4">
      <c r="A12" s="1" t="s">
        <v>2</v>
      </c>
      <c r="B12" s="8">
        <v>8.4</v>
      </c>
      <c r="D12" s="8">
        <f>STDEV(B11:B19)</f>
        <v>1.5499999999999987</v>
      </c>
    </row>
    <row r="13" spans="1:4">
      <c r="A13" s="1" t="s">
        <v>2</v>
      </c>
      <c r="B13" s="8">
        <v>5.5</v>
      </c>
    </row>
    <row r="14" spans="1:4">
      <c r="A14" s="1" t="s">
        <v>2</v>
      </c>
      <c r="B14" s="8">
        <v>5.3</v>
      </c>
    </row>
    <row r="15" spans="1:4">
      <c r="A15" s="1" t="s">
        <v>2</v>
      </c>
      <c r="B15" s="8">
        <v>5.4</v>
      </c>
    </row>
    <row r="16" spans="1:4">
      <c r="A16" s="1" t="s">
        <v>2</v>
      </c>
      <c r="B16" s="8">
        <v>5.3</v>
      </c>
    </row>
    <row r="17" spans="1:4">
      <c r="A17" s="1" t="s">
        <v>2</v>
      </c>
      <c r="B17" s="8">
        <v>7.8</v>
      </c>
    </row>
    <row r="18" spans="1:4">
      <c r="A18" s="1" t="s">
        <v>2</v>
      </c>
      <c r="B18" s="8">
        <v>8.3000000000000007</v>
      </c>
    </row>
    <row r="19" spans="1:4">
      <c r="A19" s="1" t="s">
        <v>2</v>
      </c>
      <c r="B19" s="8">
        <v>4.0999999999999996</v>
      </c>
    </row>
    <row r="20" spans="1:4">
      <c r="A20" s="1" t="s">
        <v>3</v>
      </c>
      <c r="B20" s="8">
        <v>4.8</v>
      </c>
      <c r="D20" s="8">
        <f>AVERAGE(B20:B28)</f>
        <v>5.6444444444444448</v>
      </c>
    </row>
    <row r="21" spans="1:4">
      <c r="A21" s="1" t="s">
        <v>3</v>
      </c>
      <c r="B21" s="8">
        <v>4.5</v>
      </c>
      <c r="D21" s="8">
        <f>STDEV(B20:B28)</f>
        <v>1.9768100004243641</v>
      </c>
    </row>
    <row r="22" spans="1:4">
      <c r="A22" s="1" t="s">
        <v>3</v>
      </c>
      <c r="B22" s="8">
        <v>4.2</v>
      </c>
    </row>
    <row r="23" spans="1:4">
      <c r="A23" s="1" t="s">
        <v>3</v>
      </c>
      <c r="B23" s="8">
        <v>5.2</v>
      </c>
    </row>
    <row r="24" spans="1:4">
      <c r="A24" s="1" t="s">
        <v>3</v>
      </c>
      <c r="B24" s="8">
        <v>10</v>
      </c>
    </row>
    <row r="25" spans="1:4">
      <c r="A25" s="1" t="s">
        <v>3</v>
      </c>
      <c r="B25" s="8">
        <v>6.3</v>
      </c>
    </row>
    <row r="26" spans="1:4">
      <c r="A26" s="1" t="s">
        <v>3</v>
      </c>
      <c r="B26" s="8">
        <v>3.2</v>
      </c>
    </row>
    <row r="27" spans="1:4">
      <c r="A27" s="1" t="s">
        <v>3</v>
      </c>
      <c r="B27" s="8">
        <v>6.9</v>
      </c>
    </row>
    <row r="28" spans="1:4">
      <c r="A28" s="1" t="s">
        <v>3</v>
      </c>
      <c r="B28" s="8">
        <v>5.7</v>
      </c>
    </row>
    <row r="29" spans="1:4">
      <c r="A29" s="1" t="s">
        <v>4</v>
      </c>
      <c r="B29" s="8">
        <v>2.2000000000000002</v>
      </c>
      <c r="D29" s="8">
        <f>AVERAGE(B29:B37)</f>
        <v>4.3111111111111118</v>
      </c>
    </row>
    <row r="30" spans="1:4">
      <c r="A30" s="1" t="s">
        <v>4</v>
      </c>
      <c r="B30" s="8">
        <v>4.4000000000000004</v>
      </c>
      <c r="D30" s="8">
        <f>STDEV(B29:B37)</f>
        <v>2.0027758514399721</v>
      </c>
    </row>
    <row r="31" spans="1:4">
      <c r="A31" s="1" t="s">
        <v>4</v>
      </c>
      <c r="B31" s="8">
        <v>8.1999999999999993</v>
      </c>
    </row>
    <row r="32" spans="1:4">
      <c r="A32" s="1" t="s">
        <v>4</v>
      </c>
      <c r="B32" s="8">
        <v>2.5</v>
      </c>
    </row>
    <row r="33" spans="1:4">
      <c r="A33" s="1" t="s">
        <v>4</v>
      </c>
      <c r="B33" s="8">
        <v>5</v>
      </c>
    </row>
    <row r="34" spans="1:4">
      <c r="A34" s="1" t="s">
        <v>4</v>
      </c>
      <c r="B34" s="8">
        <v>6</v>
      </c>
    </row>
    <row r="35" spans="1:4">
      <c r="A35" s="1" t="s">
        <v>4</v>
      </c>
      <c r="B35" s="8">
        <v>2.5</v>
      </c>
    </row>
    <row r="36" spans="1:4">
      <c r="A36" s="1" t="s">
        <v>4</v>
      </c>
      <c r="B36" s="8">
        <v>2.9</v>
      </c>
    </row>
    <row r="37" spans="1:4">
      <c r="A37" s="1" t="s">
        <v>4</v>
      </c>
      <c r="B37" s="8">
        <v>5.0999999999999996</v>
      </c>
    </row>
    <row r="38" spans="1:4">
      <c r="A38" s="1" t="s">
        <v>5</v>
      </c>
      <c r="B38" s="8">
        <v>5.4</v>
      </c>
      <c r="D38" s="8">
        <f>AVERAGE(B38:B61)</f>
        <v>4.0112083333333333</v>
      </c>
    </row>
    <row r="39" spans="1:4">
      <c r="A39" s="1" t="s">
        <v>5</v>
      </c>
      <c r="B39" s="8">
        <v>4.0999999999999996</v>
      </c>
      <c r="D39" s="8">
        <f>STDEV(B38:B61)</f>
        <v>2.9822429985727577</v>
      </c>
    </row>
    <row r="40" spans="1:4">
      <c r="A40" s="1" t="s">
        <v>5</v>
      </c>
      <c r="B40" s="8">
        <v>2.5</v>
      </c>
    </row>
    <row r="41" spans="1:4">
      <c r="A41" s="1" t="s">
        <v>5</v>
      </c>
      <c r="B41" s="8">
        <v>1</v>
      </c>
    </row>
    <row r="42" spans="1:4">
      <c r="A42" s="1" t="s">
        <v>5</v>
      </c>
      <c r="B42" s="8">
        <v>4.7</v>
      </c>
    </row>
    <row r="43" spans="1:4">
      <c r="A43" s="1" t="s">
        <v>5</v>
      </c>
      <c r="B43" s="8">
        <v>5</v>
      </c>
    </row>
    <row r="44" spans="1:4">
      <c r="A44" s="1" t="s">
        <v>5</v>
      </c>
      <c r="B44" s="8">
        <v>1.9</v>
      </c>
    </row>
    <row r="45" spans="1:4">
      <c r="A45" s="1" t="s">
        <v>5</v>
      </c>
      <c r="B45" s="8">
        <v>3.8</v>
      </c>
    </row>
    <row r="46" spans="1:4">
      <c r="A46" s="1" t="s">
        <v>5</v>
      </c>
      <c r="B46" s="8">
        <v>2.5</v>
      </c>
    </row>
    <row r="47" spans="1:4">
      <c r="A47" s="1" t="s">
        <v>5</v>
      </c>
      <c r="B47" s="8">
        <v>3.5</v>
      </c>
    </row>
    <row r="48" spans="1:4">
      <c r="A48" s="1" t="s">
        <v>5</v>
      </c>
      <c r="B48" s="8">
        <v>5.9</v>
      </c>
    </row>
    <row r="49" spans="1:5">
      <c r="A49" s="1" t="s">
        <v>5</v>
      </c>
      <c r="B49" s="8">
        <v>5.9</v>
      </c>
    </row>
    <row r="50" spans="1:5">
      <c r="A50" s="1" t="s">
        <v>5</v>
      </c>
      <c r="B50" s="8">
        <v>3.3</v>
      </c>
    </row>
    <row r="51" spans="1:5">
      <c r="A51" s="1" t="s">
        <v>5</v>
      </c>
      <c r="B51" s="8">
        <v>7.9</v>
      </c>
    </row>
    <row r="52" spans="1:5">
      <c r="A52" s="1" t="s">
        <v>5</v>
      </c>
      <c r="B52" s="8">
        <v>7</v>
      </c>
      <c r="C52" s="5"/>
      <c r="D52" s="9"/>
    </row>
    <row r="53" spans="1:5">
      <c r="A53" s="1" t="s">
        <v>5</v>
      </c>
      <c r="B53" s="8">
        <v>7.6</v>
      </c>
      <c r="C53" s="4"/>
      <c r="D53" s="6"/>
    </row>
    <row r="54" spans="1:5">
      <c r="A54" s="1" t="s">
        <v>5</v>
      </c>
      <c r="B54" s="8">
        <v>12</v>
      </c>
      <c r="C54" s="4"/>
      <c r="D54" s="6"/>
    </row>
    <row r="55" spans="1:5">
      <c r="A55" s="1" t="s">
        <v>5</v>
      </c>
      <c r="B55" s="8">
        <v>7.5</v>
      </c>
    </row>
    <row r="56" spans="1:5">
      <c r="A56" s="1" t="s">
        <v>5</v>
      </c>
      <c r="B56" s="8">
        <v>1.0489999999999999</v>
      </c>
    </row>
    <row r="57" spans="1:5">
      <c r="A57" s="1" t="s">
        <v>5</v>
      </c>
      <c r="B57" s="8">
        <v>0.64</v>
      </c>
    </row>
    <row r="58" spans="1:5">
      <c r="A58" s="1" t="s">
        <v>5</v>
      </c>
      <c r="B58" s="8">
        <v>0.67</v>
      </c>
      <c r="C58" s="5"/>
      <c r="D58" s="9"/>
      <c r="E58" s="5"/>
    </row>
    <row r="59" spans="1:5">
      <c r="A59" s="1" t="s">
        <v>5</v>
      </c>
      <c r="B59" s="8">
        <v>0.68</v>
      </c>
      <c r="C59" s="4"/>
      <c r="D59" s="6"/>
      <c r="E59" s="4"/>
    </row>
    <row r="60" spans="1:5">
      <c r="A60" s="1" t="s">
        <v>5</v>
      </c>
      <c r="B60" s="8">
        <v>0.82</v>
      </c>
      <c r="C60" s="4"/>
      <c r="D60" s="6"/>
      <c r="E60" s="4"/>
    </row>
    <row r="61" spans="1:5">
      <c r="A61" s="1" t="s">
        <v>5</v>
      </c>
      <c r="B61" s="8">
        <v>0.91</v>
      </c>
    </row>
    <row r="62" spans="1:5">
      <c r="A62" s="1" t="s">
        <v>6</v>
      </c>
      <c r="B62" s="8">
        <v>13</v>
      </c>
      <c r="D62" s="8">
        <f>AVERAGE(B62:B76)</f>
        <v>5.6286666666666667</v>
      </c>
    </row>
    <row r="63" spans="1:5">
      <c r="A63" s="1" t="s">
        <v>6</v>
      </c>
      <c r="B63" s="8">
        <v>18</v>
      </c>
      <c r="D63" s="8">
        <f>STDEV(B62:B76)</f>
        <v>6.8082154853704582</v>
      </c>
    </row>
    <row r="64" spans="1:5">
      <c r="A64" s="1" t="s">
        <v>6</v>
      </c>
      <c r="B64" s="8">
        <v>6</v>
      </c>
    </row>
    <row r="65" spans="1:4">
      <c r="A65" s="1" t="s">
        <v>6</v>
      </c>
      <c r="B65" s="8">
        <v>0.74</v>
      </c>
    </row>
    <row r="66" spans="1:4">
      <c r="A66" s="1" t="s">
        <v>6</v>
      </c>
      <c r="B66" s="8">
        <v>1.9</v>
      </c>
    </row>
    <row r="67" spans="1:4">
      <c r="A67" s="1" t="s">
        <v>6</v>
      </c>
      <c r="B67" s="8">
        <v>0.73</v>
      </c>
    </row>
    <row r="68" spans="1:4">
      <c r="A68" s="1" t="s">
        <v>6</v>
      </c>
      <c r="B68" s="6">
        <v>15</v>
      </c>
    </row>
    <row r="69" spans="1:4">
      <c r="A69" s="1" t="s">
        <v>6</v>
      </c>
      <c r="B69" s="6">
        <v>6.1</v>
      </c>
    </row>
    <row r="70" spans="1:4">
      <c r="A70" s="1" t="s">
        <v>6</v>
      </c>
      <c r="B70" s="6">
        <v>18</v>
      </c>
    </row>
    <row r="71" spans="1:4">
      <c r="A71" s="1" t="s">
        <v>6</v>
      </c>
      <c r="B71" s="6">
        <v>0.63</v>
      </c>
    </row>
    <row r="72" spans="1:4">
      <c r="A72" s="1" t="s">
        <v>6</v>
      </c>
      <c r="B72" s="6">
        <v>0.97</v>
      </c>
    </row>
    <row r="73" spans="1:4">
      <c r="A73" s="1" t="s">
        <v>6</v>
      </c>
      <c r="B73" s="6">
        <v>1.04</v>
      </c>
    </row>
    <row r="74" spans="1:4">
      <c r="A74" s="1" t="s">
        <v>6</v>
      </c>
      <c r="B74" s="6">
        <v>0.64</v>
      </c>
    </row>
    <row r="75" spans="1:4">
      <c r="A75" s="1" t="s">
        <v>6</v>
      </c>
      <c r="B75" s="6">
        <v>0.92</v>
      </c>
    </row>
    <row r="76" spans="1:4">
      <c r="A76" s="1" t="s">
        <v>6</v>
      </c>
      <c r="B76" s="6">
        <v>0.76</v>
      </c>
    </row>
    <row r="77" spans="1:4">
      <c r="A77" s="1" t="s">
        <v>7</v>
      </c>
      <c r="B77" s="6">
        <v>1.1000000000000001</v>
      </c>
      <c r="D77" s="8">
        <f>AVERAGE(B77:B91)</f>
        <v>7.8686666666666669</v>
      </c>
    </row>
    <row r="78" spans="1:4">
      <c r="A78" s="1" t="s">
        <v>7</v>
      </c>
      <c r="B78" s="6">
        <v>15</v>
      </c>
      <c r="D78" s="8">
        <f>STDEV(B77:B91)</f>
        <v>8.944815630669348</v>
      </c>
    </row>
    <row r="79" spans="1:4">
      <c r="A79" s="1" t="s">
        <v>7</v>
      </c>
      <c r="B79" s="6">
        <v>22</v>
      </c>
    </row>
    <row r="80" spans="1:4">
      <c r="A80" s="1" t="s">
        <v>7</v>
      </c>
      <c r="B80" s="6">
        <v>1.3</v>
      </c>
    </row>
    <row r="81" spans="1:2">
      <c r="A81" s="1" t="s">
        <v>7</v>
      </c>
      <c r="B81" s="6">
        <v>1.1000000000000001</v>
      </c>
    </row>
    <row r="82" spans="1:2">
      <c r="A82" s="1" t="s">
        <v>7</v>
      </c>
      <c r="B82" s="6">
        <v>1.1000000000000001</v>
      </c>
    </row>
    <row r="83" spans="1:2">
      <c r="A83" s="1" t="s">
        <v>7</v>
      </c>
      <c r="B83" s="6">
        <v>24</v>
      </c>
    </row>
    <row r="84" spans="1:2">
      <c r="A84" s="1" t="s">
        <v>7</v>
      </c>
      <c r="B84" s="6">
        <v>21</v>
      </c>
    </row>
    <row r="85" spans="1:2">
      <c r="A85" s="1" t="s">
        <v>7</v>
      </c>
      <c r="B85" s="6">
        <v>16</v>
      </c>
    </row>
    <row r="86" spans="1:2">
      <c r="A86" s="1" t="s">
        <v>7</v>
      </c>
      <c r="B86" s="6">
        <v>5.5</v>
      </c>
    </row>
    <row r="87" spans="1:2">
      <c r="A87" s="1" t="s">
        <v>7</v>
      </c>
      <c r="B87" s="6">
        <v>5</v>
      </c>
    </row>
    <row r="88" spans="1:2">
      <c r="A88" s="1" t="s">
        <v>7</v>
      </c>
      <c r="B88" s="6">
        <v>1.6</v>
      </c>
    </row>
    <row r="89" spans="1:2">
      <c r="A89" s="1" t="s">
        <v>7</v>
      </c>
      <c r="B89" s="6">
        <v>0.93</v>
      </c>
    </row>
    <row r="90" spans="1:2">
      <c r="A90" s="1" t="s">
        <v>7</v>
      </c>
      <c r="B90" s="6">
        <v>1.2</v>
      </c>
    </row>
    <row r="91" spans="1:2">
      <c r="A91" s="1" t="s">
        <v>7</v>
      </c>
      <c r="B91" s="6">
        <v>1.2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Shih-Chieh Chien</dc:creator>
  <cp:lastModifiedBy>Shih-Chieh Chien</cp:lastModifiedBy>
  <dcterms:created xsi:type="dcterms:W3CDTF">2023-09-24T02:44:54Z</dcterms:created>
  <dcterms:modified xsi:type="dcterms:W3CDTF">2023-10-05T22:28:36Z</dcterms:modified>
</cp:coreProperties>
</file>